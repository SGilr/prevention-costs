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Ledger" sheetId="2" state="visible" r:id="rId4"/>
    <sheet name="Parameters" sheetId="3" state="visible" r:id="rId5"/>
    <sheet name="Scenarios" sheetId="4" state="visible" r:id="rId6"/>
  </sheets>
  <definedNames>
    <definedName function="false" hidden="true" localSheetId="1" name="_xlnm._FilterDatabase" vbProcedure="false">Ledger!$A$1:$T$91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<sst xmlns="http://schemas.openxmlformats.org/spreadsheetml/2006/main" count="1771" uniqueCount="972">
  <si>
    <t xml:space="preserve">Prevention Returns Ledger</t>
  </si>
  <si>
    <t xml:space="preserve">Oxon Advisory Prevention Informatics. Sources checked 27 September 2026.</t>
  </si>
  <si>
    <t xml:space="preserve">What this workbook holds</t>
  </si>
  <si>
    <t xml:space="preserve">Ledger</t>
  </si>
  <si>
    <t xml:space="preserve">Every harm cost, intervention, valuation parameter and forecast, one row each, with source, URL, price year and evidence grade. Filter with the header arrows.</t>
  </si>
  <si>
    <t xml:space="preserve">Parameters</t>
  </si>
  <si>
    <t xml:space="preserve">Official valuation values (QALY, WELLBY, NICE threshold, discount rates) and the ACE burden base. Blue cells are inputs you can change.</t>
  </si>
  <si>
    <t xml:space="preserve">Scenarios</t>
  </si>
  <si>
    <t xml:space="preserve">Applies each source's published ratio to a caseload or spend you enter in the yellow cells. Results are illustrative arithmetic on sourced parameters, not new estimates.</t>
  </si>
  <si>
    <t xml:space="preserve">Evidence grades</t>
  </si>
  <si>
    <t xml:space="preserve">A</t>
  </si>
  <si>
    <t xml:space="preserve">Official statistics, UK randomised trial or systematic review</t>
  </si>
  <si>
    <t xml:space="preserve">B</t>
  </si>
  <si>
    <t xml:space="preserve">Peer-reviewed cohort, quasi-experimental study or official evaluation</t>
  </si>
  <si>
    <t xml:space="preserve">C</t>
  </si>
  <si>
    <t xml:space="preserve">Modelled estimate (peer-reviewed, think tank or charity), or an international effect with no UK cost</t>
  </si>
  <si>
    <t xml:space="preserve">D</t>
  </si>
  <si>
    <t xml:space="preserve">Secondary citation; primary source not seen</t>
  </si>
  <si>
    <t xml:space="preserve">Colour conventions</t>
  </si>
  <si>
    <t xml:space="preserve">Blue text</t>
  </si>
  <si>
    <t xml:space="preserve">Hard-coded input taken from a source (change only if you have a better source)</t>
  </si>
  <si>
    <t xml:space="preserve">Yellow fill</t>
  </si>
  <si>
    <t xml:space="preserve">Your scenario input</t>
  </si>
  <si>
    <t xml:space="preserve">Black text</t>
  </si>
  <si>
    <t xml:space="preserve">Formula</t>
  </si>
  <si>
    <t xml:space="preserve">Green text</t>
  </si>
  <si>
    <t xml:space="preserve">Link to another sheet</t>
  </si>
  <si>
    <t xml:space="preserve">Handling rules</t>
  </si>
  <si>
    <t xml:space="preserve">Figures are not rebased to a common price year. Rebase before comparing across rows.</t>
  </si>
  <si>
    <t xml:space="preserve">Harm costs overlap heavily and must never be summed.</t>
  </si>
  <si>
    <t xml:space="preserve">Cash returns and QALY values come from different frameworks; combining them needs a stated assumption.</t>
  </si>
  <si>
    <t xml:space="preserve">Human security tags (want, fear, dignity) are Oxon Advisory's classification, not the sources'.</t>
  </si>
  <si>
    <t xml:space="preserve">Known gaps</t>
  </si>
  <si>
    <t xml:space="preserve">No verified cost estimate for children with a parent in prison (219,000 a year).</t>
  </si>
  <si>
    <t xml:space="preserve">No cost-effectiveness study for brain injury screening or linkworker support in justice settings.</t>
  </si>
  <si>
    <t xml:space="preserve">No UK cost-of-illness estimate for FASD, and no verified UK return for children's speech and language therapy.</t>
  </si>
  <si>
    <t xml:space="preserve">EIF's late intervention estimate has not been updated since 2016.</t>
  </si>
  <si>
    <t xml:space="preserve">Most youth violence effect sizes come from outside the UK; UK trials of MST, FFT and FNP were null or not cost-effective.</t>
  </si>
  <si>
    <t xml:space="preserve">Scotland, Wales and Northern Ireland are thin outside alcohol pricing and the CPIT trials.</t>
  </si>
  <si>
    <t xml:space="preserve">Few sources report QALYs; most report cash returns, so health and cash values cannot be combined without assumptions.</t>
  </si>
  <si>
    <t xml:space="preserve">ID</t>
  </si>
  <si>
    <t xml:space="preserve">Entry type</t>
  </si>
  <si>
    <t xml:space="preserve">Life stage</t>
  </si>
  <si>
    <t xml:space="preserve">Age band</t>
  </si>
  <si>
    <t xml:space="preserve">Neurodevelopmental window</t>
  </si>
  <si>
    <t xml:space="preserve">System</t>
  </si>
  <si>
    <t xml:space="preserve">Human security</t>
  </si>
  <si>
    <t xml:space="preserve">Item</t>
  </si>
  <si>
    <t xml:space="preserve">Measure</t>
  </si>
  <si>
    <t xml:space="preserve">Value</t>
  </si>
  <si>
    <t xml:space="preserve">Result</t>
  </si>
  <si>
    <t xml:space="preserve">Pays</t>
  </si>
  <si>
    <t xml:space="preserve">Benefits</t>
  </si>
  <si>
    <t xml:space="preserve">Grade</t>
  </si>
  <si>
    <t xml:space="preserve">Design</t>
  </si>
  <si>
    <t xml:space="preserve">Where</t>
  </si>
  <si>
    <t xml:space="preserve">Price year</t>
  </si>
  <si>
    <t xml:space="preserve">Source</t>
  </si>
  <si>
    <t xml:space="preserve">URL</t>
  </si>
  <si>
    <t xml:space="preserve">Note</t>
  </si>
  <si>
    <t xml:space="preserve">H01</t>
  </si>
  <si>
    <t xml:space="preserve">Harm cost</t>
  </si>
  <si>
    <t xml:space="preserve">Whole lifecourse</t>
  </si>
  <si>
    <t xml:space="preserve">and next generation</t>
  </si>
  <si>
    <t xml:space="preserve">Cross-system</t>
  </si>
  <si>
    <t xml:space="preserve">Freedom from want</t>
  </si>
  <si>
    <t xml:space="preserve">Late intervention spend (children and young people)</t>
  </si>
  <si>
    <t xml:space="preserve">State spend per year</t>
  </si>
  <si>
    <t xml:space="preserve">£16.6bn (nearly £17bn); £287 per person. LA £6.4bn, NHS £3.7bn, DWP £2.7bn</t>
  </si>
  <si>
    <t xml:space="preserve">Analysis of public spend</t>
  </si>
  <si>
    <t xml:space="preserve">England and Wales</t>
  </si>
  <si>
    <t xml:space="preserve">2016</t>
  </si>
  <si>
    <t xml:space="preserve">EIF, The cost of late intervention: EIF analysis 2016</t>
  </si>
  <si>
    <t xml:space="preserve">https://foundations.org.uk/our-work/publications/the-cost-of-late-intervention-eif-analysis-2016/</t>
  </si>
  <si>
    <t xml:space="preserve">Fiscal only. Excludes long-term cumulative and wider social costs. Not updated since 2016.</t>
  </si>
  <si>
    <t xml:space="preserve">H02</t>
  </si>
  <si>
    <t xml:space="preserve">Social care</t>
  </si>
  <si>
    <t xml:space="preserve">Children's services spend skewed to crisis</t>
  </si>
  <si>
    <t xml:space="preserve">Share of spend on late intervention</t>
  </si>
  <si>
    <t xml:space="preserve">£14.7bn in 2024/25, 82% on late intervention; early intervention &gt;40% below 15 years ago</t>
  </si>
  <si>
    <t xml:space="preserve">Analysis of LA outturn</t>
  </si>
  <si>
    <t xml:space="preserve">England</t>
  </si>
  <si>
    <t xml:space="preserve">2024/25</t>
  </si>
  <si>
    <t xml:space="preserve">Horton and Franklin (2026), Rebalancing the system, Pro Bono Economics</t>
  </si>
  <si>
    <t xml:space="preserve">https://learning.nspcc.org.uk/research-resources/childrens-services-spending-reports</t>
  </si>
  <si>
    <t xml:space="preserve">Children in care up 25% since 2011; average cost per child in care over £100,000 a year.</t>
  </si>
  <si>
    <t xml:space="preserve">H03</t>
  </si>
  <si>
    <t xml:space="preserve">Pregnancy</t>
  </si>
  <si>
    <t xml:space="preserve">−9 to 0 months</t>
  </si>
  <si>
    <t xml:space="preserve">Prenatal exposures</t>
  </si>
  <si>
    <t xml:space="preserve">Health</t>
  </si>
  <si>
    <t xml:space="preserve">Freedom to live in dignity</t>
  </si>
  <si>
    <t xml:space="preserve">Perinatal depression, anxiety and psychosis</t>
  </si>
  <si>
    <t xml:space="preserve">Long-term cost per annual birth cohort</t>
  </si>
  <si>
    <t xml:space="preserve">£8.1bn (≈£10,000 per birth); 72% relates to the child; £1.7bn public sector; £337m a year to meet guidance</t>
  </si>
  <si>
    <t xml:space="preserve">Cost model</t>
  </si>
  <si>
    <t xml:space="preserve">UK</t>
  </si>
  <si>
    <t xml:space="preserve">2014 report</t>
  </si>
  <si>
    <t xml:space="preserve">Bauer et al. (2014), LSE and Centre for Mental Health</t>
  </si>
  <si>
    <t xml:space="preserve">https://www.centreformentalhealth.org.uk/wp-content/uploads/2018/09/costsofperinatalsummary.pdf</t>
  </si>
  <si>
    <t xml:space="preserve">The clearest measured intergenerational cost in the UK literature. Critics note most of the total is not cash spend.</t>
  </si>
  <si>
    <t xml:space="preserve">H04</t>
  </si>
  <si>
    <t xml:space="preserve">Smoking in pregnancy</t>
  </si>
  <si>
    <t xml:space="preserve">Excess child health-care cost</t>
  </si>
  <si>
    <t xml:space="preserve">£91 per child at age 1; £222 by age 5; not significant by age 10</t>
  </si>
  <si>
    <t xml:space="preserve">Linked cohort (93,152 pregnancies)</t>
  </si>
  <si>
    <t xml:space="preserve">2015</t>
  </si>
  <si>
    <t xml:space="preserve">Vaz et al. (2018), Addiction</t>
  </si>
  <si>
    <t xml:space="preserve">https://doi.org/10.1111/add.14183</t>
  </si>
  <si>
    <t xml:space="preserve">Driven mainly by inpatient care. No total annual NHS cost verified.</t>
  </si>
  <si>
    <t xml:space="preserve">H05</t>
  </si>
  <si>
    <t xml:space="preserve">Neurodevelopmental conditions</t>
  </si>
  <si>
    <t xml:space="preserve">Fetal alcohol spectrum disorder (FASD)</t>
  </si>
  <si>
    <t xml:space="preserve">Prevalence</t>
  </si>
  <si>
    <t xml:space="preserve">1.8% (95% CI 1.0–3.4); 3.6% including possible cases. Screening estimates in ALSPAC 6–17%</t>
  </si>
  <si>
    <t xml:space="preserve">Active case ascertainment (n=220)</t>
  </si>
  <si>
    <t xml:space="preserve">Greater Manchester</t>
  </si>
  <si>
    <t xml:space="preserve">n/a</t>
  </si>
  <si>
    <t xml:space="preserve">McCarthy et al. (2021), ACER; McQuire et al. (2019), Prev Med</t>
  </si>
  <si>
    <t xml:space="preserve">https://doi.org/10.1111/acer.14705</t>
  </si>
  <si>
    <t xml:space="preserve">No case had been identified before. No UK cost-of-illness estimate verified. NICE QS204 (2022) sets standards.</t>
  </si>
  <si>
    <t xml:space="preserve">H06</t>
  </si>
  <si>
    <t xml:space="preserve">Attachment, language and self-regulation</t>
  </si>
  <si>
    <t xml:space="preserve">Preterm birth</t>
  </si>
  <si>
    <t xml:space="preserve">Public-sector cost to age 18 per birth cohort</t>
  </si>
  <si>
    <t xml:space="preserve">£2.946bn; £22,885 per preterm child; £94,740 extremely preterm</t>
  </si>
  <si>
    <t xml:space="preserve">Decision model</t>
  </si>
  <si>
    <t xml:space="preserve">2006</t>
  </si>
  <si>
    <t xml:space="preserve">Mangham et al. (2009), Pediatrics</t>
  </si>
  <si>
    <t xml:space="preserve">http://wrap.warwick.ac.uk/37026/</t>
  </si>
  <si>
    <t xml:space="preserve">92% of incremental cost is neonatal inpatient care. No UK update verified.</t>
  </si>
  <si>
    <t xml:space="preserve">H07</t>
  </si>
  <si>
    <t xml:space="preserve">Early years</t>
  </si>
  <si>
    <t xml:space="preserve">0–5</t>
  </si>
  <si>
    <t xml:space="preserve">Freedom from fear</t>
  </si>
  <si>
    <t xml:space="preserve">Child maltreatment and parental domestic abuse</t>
  </si>
  <si>
    <t xml:space="preserve">Lifetime societal cost</t>
  </si>
  <si>
    <t xml:space="preserve">£71,309 per child exposed; £27.8bn for the 2013 UK birth cohort</t>
  </si>
  <si>
    <t xml:space="preserve">Lifetime cost model</t>
  </si>
  <si>
    <t xml:space="preserve">2019</t>
  </si>
  <si>
    <t xml:space="preserve">Herbert et al. (2025), Child Abuse &amp; Neglect 163, 107435</t>
  </si>
  <si>
    <t xml:space="preserve">https://pubmed.ncbi.nlm.nih.gov/40168916/</t>
  </si>
  <si>
    <t xml:space="preserve">Includes cost of exposed children later perpetrating intimate partner violence. Co-occurring abuse costs more than either alone.</t>
  </si>
  <si>
    <t xml:space="preserve">H08</t>
  </si>
  <si>
    <t xml:space="preserve">Adverse childhood experiences (ACEs)</t>
  </si>
  <si>
    <t xml:space="preserve">Annual cost and DALYs attributable</t>
  </si>
  <si>
    <t xml:space="preserve">US$78.6bn a year (2.8% of GDP); 1,858,700 DALYs</t>
  </si>
  <si>
    <t xml:space="preserve">Meta-analysis and burden model</t>
  </si>
  <si>
    <t xml:space="preserve">2019 US$</t>
  </si>
  <si>
    <t xml:space="preserve">Hughes et al. (2021), Lancet Public Health</t>
  </si>
  <si>
    <t xml:space="preserve">https://www.sciencedirect.com/science/article/pii/S2468266721002322</t>
  </si>
  <si>
    <t xml:space="preserve">DALYs valued at GDP per capita (US$42,300 for the UK). Authors caution against cross-country comparison.</t>
  </si>
  <si>
    <t xml:space="preserve">H09</t>
  </si>
  <si>
    <t xml:space="preserve">Education</t>
  </si>
  <si>
    <t xml:space="preserve">Developmental language disorder (DLD)</t>
  </si>
  <si>
    <t xml:space="preserve">Prevalence at school entry</t>
  </si>
  <si>
    <t xml:space="preserve">7.58% (≈2 children per class of 30); 88% did not make expected academic progress</t>
  </si>
  <si>
    <t xml:space="preserve">Population survey (n=7,267 screened)</t>
  </si>
  <si>
    <t xml:space="preserve">Surrey</t>
  </si>
  <si>
    <t xml:space="preserve">Norbury et al. (2016), JCPP</t>
  </si>
  <si>
    <t xml:space="preserve">https://doi.org/10.1111/jcpp.12573</t>
  </si>
  <si>
    <t xml:space="preserve">No verified UK return figure for speech and language therapy for children.</t>
  </si>
  <si>
    <t xml:space="preserve">H10</t>
  </si>
  <si>
    <t xml:space="preserve">Middle childhood</t>
  </si>
  <si>
    <t xml:space="preserve">5–11</t>
  </si>
  <si>
    <t xml:space="preserve">Executive function, learning and behaviour</t>
  </si>
  <si>
    <t xml:space="preserve">Childhood conduct disorder</t>
  </si>
  <si>
    <t xml:space="preserve">Public service cost to age 28</t>
  </si>
  <si>
    <t xml:space="preserve">10 times higher than peers: £70,019 against £7,423 per person</t>
  </si>
  <si>
    <t xml:space="preserve">Cohort follow-up (n=142)</t>
  </si>
  <si>
    <t xml:space="preserve">Inner London</t>
  </si>
  <si>
    <t xml:space="preserve">1998</t>
  </si>
  <si>
    <t xml:space="preserve">Scott et al. (2001), BMJ</t>
  </si>
  <si>
    <t xml:space="preserve">https://pubmed.ncbi.nlm.nih.gov/11473907/</t>
  </si>
  <si>
    <t xml:space="preserve">Crime was the largest cost, then extra education, foster and residential care, and benefits.</t>
  </si>
  <si>
    <t xml:space="preserve">H11</t>
  </si>
  <si>
    <t xml:space="preserve">Economy and welfare</t>
  </si>
  <si>
    <t xml:space="preserve">Childhood bullying victimisation</t>
  </si>
  <si>
    <t xml:space="preserve">Costs at age 50</t>
  </si>
  <si>
    <t xml:space="preserve">Men: £271 a year higher employment-related costs. Women: £717 higher health service costs over 8 years</t>
  </si>
  <si>
    <t xml:space="preserve">1958 British birth cohort</t>
  </si>
  <si>
    <t xml:space="preserve">Great Britain</t>
  </si>
  <si>
    <t xml:space="preserve">2008</t>
  </si>
  <si>
    <t xml:space="preserve">Brimblecombe et al. (2018), Social Science &amp; Medicine</t>
  </si>
  <si>
    <t xml:space="preserve">https://doi.org/10.1016/j.socscimed.2018.05.014</t>
  </si>
  <si>
    <t xml:space="preserve">Bullied people were less often employed and held less wealth four decades later.</t>
  </si>
  <si>
    <t xml:space="preserve">H12</t>
  </si>
  <si>
    <t xml:space="preserve">Adolescence</t>
  </si>
  <si>
    <t xml:space="preserve">11–18</t>
  </si>
  <si>
    <t xml:space="preserve">Permanent school exclusion</t>
  </si>
  <si>
    <t xml:space="preserve">Lifetime cost to the state</t>
  </si>
  <si>
    <t xml:space="preserve">At least £170,000 per child; £1.6bn per annual cohort</t>
  </si>
  <si>
    <t xml:space="preserve">Think tank model</t>
  </si>
  <si>
    <t xml:space="preserve">2024</t>
  </si>
  <si>
    <t xml:space="preserve">IPPR and The Difference (2024)</t>
  </si>
  <si>
    <t xml:space="preserve">https://www.ippr.org/media-office/revealed-school-exclusions-and-suspensions-rise-by-a-fifth-last-year-finds-new-report</t>
  </si>
  <si>
    <t xml:space="preserve">Supersedes the widely quoted 2017 figure of £370,000.</t>
  </si>
  <si>
    <t xml:space="preserve">H13</t>
  </si>
  <si>
    <t xml:space="preserve">ADHD</t>
  </si>
  <si>
    <t xml:space="preserve">Avoidable economic cost</t>
  </si>
  <si>
    <t xml:space="preserve">At least £17bn; about £17,000 more per adult per year</t>
  </si>
  <si>
    <t>Danish registry sibling comparison, scaled to the UK adult population</t>
  </si>
  <si>
    <t xml:space="preserve">not stated</t>
  </si>
  <si>
    <t>NHS England, Independent ADHD Taskforce Part 1 (2025), converting Daley et al. (2019)</t>
  </si>
  <si>
    <t xml:space="preserve">https://www.england.nhs.uk/long-read/report-of-the-independent-adhd-taskforce-part-1/</t>
  </si>
  <si>
    <t>Daley et al. (2019) report in euros, from 2010 Danish register data: €20,135 more per adult with ADHD per year than a same-sex sibling (p.45), and €19,974m for the UK at 2.5% prevalence or €4,361m at 0.5% (Table 4, p.46), which the paper calls crude estimates. The Taskforce converted to pounds at an unstated rate and uses the higher prevalence. Taskforce links ADHD to early justice contact; 20–34% of NEET young people likely to have ADHD.</t>
  </si>
  <si>
    <t xml:space="preserve">H14</t>
  </si>
  <si>
    <t xml:space="preserve">Autism</t>
  </si>
  <si>
    <t xml:space="preserve">Lifetime cost per person</t>
  </si>
  <si>
    <t xml:space="preserve">£1.5m with intellectual disability; £0.92m without</t>
  </si>
  <si>
    <t xml:space="preserve">Literature-based model</t>
  </si>
  <si>
    <t xml:space="preserve">≈2011</t>
  </si>
  <si>
    <t xml:space="preserve">Buescher et al. (2014), JAMA Pediatrics</t>
  </si>
  <si>
    <t xml:space="preserve">https://doi.org/10.1001/jamapediatrics.2014.210</t>
  </si>
  <si>
    <t xml:space="preserve">In childhood the main costs are special education and lost parental productivity.</t>
  </si>
  <si>
    <t xml:space="preserve">H15</t>
  </si>
  <si>
    <t xml:space="preserve">Acquired brain injury</t>
  </si>
  <si>
    <t xml:space="preserve">Justice</t>
  </si>
  <si>
    <t xml:space="preserve">Traumatic brain injury in adolescence</t>
  </si>
  <si>
    <t xml:space="preserve">Lifetime cost per case at age 15</t>
  </si>
  <si>
    <t xml:space="preserve">£155,000 in the general population; £345,000 for a young person in a YOI</t>
  </si>
  <si>
    <t xml:space="preserve">≈2016</t>
  </si>
  <si>
    <t xml:space="preserve">Centre for Mental Health (2016), Traumatic brain injury and offending</t>
  </si>
  <si>
    <t xml:space="preserve">https://www.centreformentalhealth.org.uk/publications/traumatic-brain-injury-and-offending/</t>
  </si>
  <si>
    <t xml:space="preserve">Crime costs drive the difference (£60,000 against £250,000).</t>
  </si>
  <si>
    <t xml:space="preserve">H16</t>
  </si>
  <si>
    <t xml:space="preserve">Brain injury among children in custody</t>
  </si>
  <si>
    <t xml:space="preserve">82% reported at least one TBI; 44% with ongoing symptoms</t>
  </si>
  <si>
    <t xml:space="preserve">Cohort (93 males aged 15–18)</t>
  </si>
  <si>
    <t xml:space="preserve">Chitsabesan et al. (2015), J Head Trauma Rehabil</t>
  </si>
  <si>
    <t xml:space="preserve">https://doi.org/10.1097/HTR.0000000000000129</t>
  </si>
  <si>
    <t xml:space="preserve">International review range 16.5–72.1% (Hughes et al. 2015).</t>
  </si>
  <si>
    <t xml:space="preserve">H17</t>
  </si>
  <si>
    <t xml:space="preserve">Adulthood</t>
  </si>
  <si>
    <t xml:space="preserve">25+</t>
  </si>
  <si>
    <t xml:space="preserve">Brain injury among adults in prison</t>
  </si>
  <si>
    <t xml:space="preserve">65% of adult male prisoners report TBI (16% moderate to severe); 78% of women in Scottish prisons had significant head injury</t>
  </si>
  <si>
    <t xml:space="preserve">Surveys</t>
  </si>
  <si>
    <t xml:space="preserve">England; Scotland</t>
  </si>
  <si>
    <t xml:space="preserve">Williams et al. (2010), Brain Injury; McMillan et al. (2021), Lancet Psychiatry</t>
  </si>
  <si>
    <t xml:space="preserve">https://doi.org/10.3109/02699052.2010.495697</t>
  </si>
  <si>
    <t xml:space="preserve">Among women, injuries mostly linked to domestic abuse, often repeated.</t>
  </si>
  <si>
    <t xml:space="preserve">H18</t>
  </si>
  <si>
    <t>Acquired brain injury (traumatic brain injury, stroke and brain tumour)</t>
  </si>
  <si>
    <t xml:space="preserve">Annual cost to the economy</t>
  </si>
  <si>
    <t>£43bn: NHS and social care £20bn; productivity £21.5bn; justice and education £1.5bn; plus benefits £1.9bn, outside the total (transfers)</t>
  </si>
  <si>
    <t xml:space="preserve">Charity-commissioned model</t>
  </si>
  <si>
    <t xml:space="preserve">2025</t>
  </si>
  <si>
    <t xml:space="preserve">APPG on ABI and UKABIF (2025), The cost of acquired brain injury to the UK economy</t>
  </si>
  <si>
    <t xml:space="preserve">https://ukabif.org.uk/news/701354/Hidden-toll-of-brain-injury-costs-economy-43-billion-a-year-.htm</t>
  </si>
  <si>
    <t>Covers traumatic brain injury, stroke and brain tumour, about 85% of ABI episodes; other causes are not costed (p.9). The report calls the total both the lifetime costs of ABI in 2023/24 (p.9) and a typical year (p.25). Price bases are mixed. Wellbeing loss of £91.5bn a year reported separately (pp.5, 7).</t>
  </si>
  <si>
    <t xml:space="preserve">H19</t>
  </si>
  <si>
    <t xml:space="preserve">Residential care for children</t>
  </si>
  <si>
    <t xml:space="preserve">Unit cost per year</t>
  </si>
  <si>
    <t xml:space="preserve">Children's home £318,400 (£6,100 a week); foster care £38,100. £8.1bn LA spend for 83,630 looked-after children</t>
  </si>
  <si>
    <t xml:space="preserve">NAO audit</t>
  </si>
  <si>
    <t xml:space="preserve">2023/24</t>
  </si>
  <si>
    <t xml:space="preserve">NAO (2025), Managing children's residential care</t>
  </si>
  <si>
    <t xml:space="preserve">https://www.nao.org.uk/wp-content/uploads/2025/09/Managing-childrens-residential-care.pdf</t>
  </si>
  <si>
    <t xml:space="preserve">CMA (2022) found the largest providers earn materially higher profits than a working market would.</t>
  </si>
  <si>
    <t xml:space="preserve">H20</t>
  </si>
  <si>
    <t xml:space="preserve">Young adulthood</t>
  </si>
  <si>
    <t xml:space="preserve">18–25</t>
  </si>
  <si>
    <t xml:space="preserve">Adolescent social and emotional development</t>
  </si>
  <si>
    <t xml:space="preserve">Young people not in education, employment or training (NEET)</t>
  </si>
  <si>
    <t xml:space="preserve">Lifetime and annual cost</t>
  </si>
  <si>
    <t xml:space="preserve">£244,000 per additional NEET young person (lifetime, state). Almost 1m NEET: £125bn cumulative annual cost</t>
  </si>
  <si>
    <t xml:space="preserve">Think tank and review models</t>
  </si>
  <si>
    <t xml:space="preserve">England/UK</t>
  </si>
  <si>
    <t xml:space="preserve">2026</t>
  </si>
  <si>
    <t xml:space="preserve">Impetus (2026), Closing the Youth Jobs Gap; DWP, Young people and work: interim report (2026)</t>
  </si>
  <si>
    <t xml:space="preserve">https://www.gov.uk/government/publications/young-people-and-work-interim-report/young-people-and-work-interim-report</t>
  </si>
  <si>
    <t xml:space="preserve">Review found only about one in five NEET young people get meaningful employment support.</t>
  </si>
  <si>
    <t xml:space="preserve">H21</t>
  </si>
  <si>
    <t xml:space="preserve">Adult mental health, recovery and parenting</t>
  </si>
  <si>
    <t xml:space="preserve">Mental ill health</t>
  </si>
  <si>
    <t xml:space="preserve">Economic and social cost</t>
  </si>
  <si>
    <t xml:space="preserve">£300bn in 2022; £25bn falls on the state, £101bn on business, £175bn on people and families</t>
  </si>
  <si>
    <t xml:space="preserve">Cost-of-illness model</t>
  </si>
  <si>
    <t xml:space="preserve">2022</t>
  </si>
  <si>
    <t xml:space="preserve">Cardoso and McHayle (2024), Centre for Mental Health</t>
  </si>
  <si>
    <t xml:space="preserve">https://www.centreformentalhealth.org.uk/publications/the-economic-and-social-costs-of-mental-ill-health/</t>
  </si>
  <si>
    <t xml:space="preserve">Excludes £2.1bn cost of mental ill health in prisons.</t>
  </si>
  <si>
    <t xml:space="preserve">H22</t>
  </si>
  <si>
    <t xml:space="preserve">Alcohol harm</t>
  </si>
  <si>
    <t xml:space="preserve">External cost per year</t>
  </si>
  <si>
    <t xml:space="preserve">£27.44bn: NHS £4.91bn; crime and justice £14.58bn; productivity £5.06bn; social services £2.89bn</t>
  </si>
  <si>
    <t xml:space="preserve">Cabinet Office method, updated</t>
  </si>
  <si>
    <t xml:space="preserve">Institute of Alcohol Studies (2024)</t>
  </si>
  <si>
    <t xml:space="preserve">https://www.ias.org.uk/factsheet/economy/</t>
  </si>
  <si>
    <t>Data year 2021/22; price base not stated for all components (methodology, pp.1–2). Contested: critics argue little falls directly on taxpayers and that this is a cost, not cost-benefit, analysis.</t>
  </si>
  <si>
    <t xml:space="preserve">H23</t>
  </si>
  <si>
    <t xml:space="preserve">Illicit drug use</t>
  </si>
  <si>
    <t xml:space="preserve">Cost to society per year</t>
  </si>
  <si>
    <t xml:space="preserve">Over £19bn: crime and justice £9.3bn; deaths £6.3bn; children's social care £0.6bn; treatment and prevention £0.6bn</t>
  </si>
  <si>
    <t xml:space="preserve">Independent government review</t>
  </si>
  <si>
    <t xml:space="preserve">2020/21</t>
  </si>
  <si>
    <t xml:space="preserve">Black (2021), Review of drugs part two, annexes</t>
  </si>
  <si>
    <t xml:space="preserve">https://assets.publishing.service.gov.uk/media/60eef5588fa8f50c768386fd/independent-review-of-drugs-part-2-annexes.pdf</t>
  </si>
  <si>
    <t>Cost year 2017/18; unpublished Public Health England analysis for England (Black 2020, Part One evidence pack, p.14). Spend on treatment is a small fraction of the harm it addresses.</t>
  </si>
  <si>
    <t xml:space="preserve">H24</t>
  </si>
  <si>
    <t xml:space="preserve">Smoking</t>
  </si>
  <si>
    <t xml:space="preserve">Cost to the public finances</t>
  </si>
  <si>
    <t xml:space="preserve">£16.9bn a year; net £9.1bn after £7.5bn tobacco tax and reduced pensions</t>
  </si>
  <si>
    <t xml:space="preserve">ASH, Economic impact of smoking</t>
  </si>
  <si>
    <t xml:space="preserve">https://ash.org.uk/key-topics/the-economic-impact-of-smoking</t>
  </si>
  <si>
    <t xml:space="preserve">Estimates have risen with each revision; method challenged by free-market critics.</t>
  </si>
  <si>
    <t xml:space="preserve">H25</t>
  </si>
  <si>
    <t xml:space="preserve">Obesity and overweight</t>
  </si>
  <si>
    <t xml:space="preserve">Annual cost</t>
  </si>
  <si>
    <t xml:space="preserve">£98bn, of which about £35bn falls on the state and wider society (NHS £19bn, productivity £16bn)</t>
  </si>
  <si>
    <t xml:space="preserve">Consultancy model</t>
  </si>
  <si>
    <t xml:space="preserve">2023</t>
  </si>
  <si>
    <t xml:space="preserve">Frontier Economics (2023), The rising cost of obesity in the UK</t>
  </si>
  <si>
    <t xml:space="preserve">https://www.frontier-economics.com/uk/en/news-and-insights/news/news-article-i20358-the-rising-cost-of-obesity-in-the-uk/</t>
  </si>
  <si>
    <t xml:space="preserve">A 2025 Frontier/Nesta revision reports £126bn including overweight; figures move with method.</t>
  </si>
  <si>
    <t xml:space="preserve">H26</t>
  </si>
  <si>
    <t xml:space="preserve">Child poverty</t>
  </si>
  <si>
    <t xml:space="preserve">£39.5bn: services £17.4bn; lost earnings £12.3bn; lost tax £5.0bn; benefits £1.6bn</t>
  </si>
  <si>
    <t xml:space="preserve">Hirsch (2023), The cost of child poverty in 2023, CPAG</t>
  </si>
  <si>
    <t xml:space="preserve">https://cpag.org.uk/news/official-child-poverty-statistics-350000-more-children-poverty-and-numbers-will-rise</t>
  </si>
  <si>
    <t xml:space="preserve">Most service cost falls on schools (£4.5bn), children's social services (£4.2bn) and health (£3.5bn).</t>
  </si>
  <si>
    <t xml:space="preserve">H27</t>
  </si>
  <si>
    <t xml:space="preserve">Housing</t>
  </si>
  <si>
    <t xml:space="preserve">Temporary accommodation for homeless households</t>
  </si>
  <si>
    <t xml:space="preserve">Council spend per year</t>
  </si>
  <si>
    <t xml:space="preserve">£2.84bn gross; £1.43bn net. More than doubled in five years</t>
  </si>
  <si>
    <t xml:space="preserve">Official outturn</t>
  </si>
  <si>
    <t xml:space="preserve">House of Commons Library, CBP-10421 (2026)</t>
  </si>
  <si>
    <t xml:space="preserve">https://commonslibrary.parliament.uk/research-briefings/cbp-10421/</t>
  </si>
  <si>
    <t xml:space="preserve">Councils' share of TA cost rose from 7.1% (2009/10) to 50.6% (2024/25).</t>
  </si>
  <si>
    <t xml:space="preserve">H28</t>
  </si>
  <si>
    <t xml:space="preserve">Domestic abuse</t>
  </si>
  <si>
    <t>£66bn; £34,015 per victim</t>
  </si>
  <si>
    <t xml:space="preserve">Home Office cost-of-crime method</t>
  </si>
  <si>
    <t xml:space="preserve">2016/17</t>
  </si>
  <si>
    <t xml:space="preserve">Home Office (2019); OSR correspondence on method</t>
  </si>
  <si>
    <t xml:space="preserve">https://osr.statisticsauthority.gov.uk/correspondence/reporting-the-costs-of-domestic-abuse</t>
  </si>
  <si>
    <t xml:space="preserve">Quality-of-life and output costs cover three years, so not a simple annual figure. Excludes child victims.</t>
  </si>
  <si>
    <t xml:space="preserve">H29</t>
  </si>
  <si>
    <t xml:space="preserve">Crime</t>
  </si>
  <si>
    <t xml:space="preserve">£61bn against individuals; £17bn against businesses</t>
  </si>
  <si>
    <t xml:space="preserve">2019/20</t>
  </si>
  <si>
    <t xml:space="preserve">Home Office, Economic and social costs of crime 2019 to 2020</t>
  </si>
  <si>
    <t xml:space="preserve">https://www.gov.uk/government/publications/economic-and-social-costs-of-crime-2019-to-2020/economic-and-social-costs-of-crime-2019-to-2020</t>
  </si>
  <si>
    <t xml:space="preserve">Violent crime makes up most of the cost to individuals.</t>
  </si>
  <si>
    <t xml:space="preserve">H30</t>
  </si>
  <si>
    <t xml:space="preserve">Reoffending</t>
  </si>
  <si>
    <t xml:space="preserve">Cost per year</t>
  </si>
  <si>
    <t xml:space="preserve">£15.0–18.3bn by adults; £1.3–1.6bn by children and young people</t>
  </si>
  <si>
    <t xml:space="preserve">MoJ analytical report</t>
  </si>
  <si>
    <t xml:space="preserve">MoJ (2019), Economic and social costs of reoffending</t>
  </si>
  <si>
    <t xml:space="preserve">https://assets.publishing.service.gov.uk/media/5d1de7a4e5274a08d13a684e/economic-social-costs-reoffending.pdf</t>
  </si>
  <si>
    <t xml:space="preserve">H31</t>
  </si>
  <si>
    <t xml:space="preserve">Prison place</t>
  </si>
  <si>
    <t xml:space="preserve">Cost per place per year</t>
  </si>
  <si>
    <t xml:space="preserve">£59,026 overall resource; £39,454 direct</t>
  </si>
  <si>
    <t xml:space="preserve">Official statistics</t>
  </si>
  <si>
    <t xml:space="preserve">MoJ, Costs per place and costs per prisoner 2024 to 2025</t>
  </si>
  <si>
    <t xml:space="preserve">https://assets.publishing.service.gov.uk/media/69bbeea2f7b1c24d8e23ce44/costs-per-place-costs-per-prisoner-2024-2025-summary.pdf</t>
  </si>
  <si>
    <t xml:space="preserve">Secure children's homes about £271k and YOIs about £119k per child per year (CMO report, 2025).</t>
  </si>
  <si>
    <t xml:space="preserve">H32</t>
  </si>
  <si>
    <t xml:space="preserve">Children with a parent in prison</t>
  </si>
  <si>
    <t xml:space="preserve">Number per year</t>
  </si>
  <si>
    <t xml:space="preserve">219,000 children (≈2% of school-age children)</t>
  </si>
  <si>
    <t xml:space="preserve">Linked HMPPS and HMRC data</t>
  </si>
  <si>
    <t xml:space="preserve">Oct 2023–Oct 2024</t>
  </si>
  <si>
    <t xml:space="preserve">MoJ (2026), Updated estimates of children with a parent in prison</t>
  </si>
  <si>
    <t xml:space="preserve">https://www.gov.uk/government/publications/updated-estimates-of-children-with-a-parent-in-prison/transparency-data-updated-estimates-of-children-with-a-parent-in-prison</t>
  </si>
  <si>
    <t xml:space="preserve">No verified cost estimate exists for this group. A clear evidence gap.</t>
  </si>
  <si>
    <t xml:space="preserve">H33</t>
  </si>
  <si>
    <t xml:space="preserve">Recurrent care proceedings</t>
  </si>
  <si>
    <t xml:space="preserve">Probability of return to court</t>
  </si>
  <si>
    <t xml:space="preserve">27.1% of mothers within 10 years; 41.8% of those returning with a new baby were 14–19 at first birth</t>
  </si>
  <si>
    <t xml:space="preserve">Population Cafcass data</t>
  </si>
  <si>
    <t xml:space="preserve">2011/12–2020/21</t>
  </si>
  <si>
    <t xml:space="preserve">Nuffield Family Justice Observatory (2023)</t>
  </si>
  <si>
    <t xml:space="preserve">https://www.nuffieldfjo.org.uk/resource/mothers-in-recurrent-care-proceedings-new-evidence-for-england-and-wales</t>
  </si>
  <si>
    <t xml:space="preserve">Growth reflects more proceedings overall, not higher risk of recurrence.</t>
  </si>
  <si>
    <t xml:space="preserve">H34</t>
  </si>
  <si>
    <t xml:space="preserve">Children of care-experienced parents</t>
  </si>
  <si>
    <t xml:space="preserve">Outcomes against peers</t>
  </si>
  <si>
    <t xml:space="preserve">Self-harm 36% against 25%; depression 18% against 11%; mothers in poverty 47% against 24%</t>
  </si>
  <si>
    <t xml:space="preserve">1970 BCS and Millennium Cohort Study</t>
  </si>
  <si>
    <t xml:space="preserve">Parsons et al. (2023); UCL CLS policy briefing (2024)</t>
  </si>
  <si>
    <t xml:space="preserve">https://cls.ucl.ac.uk/wp-content/uploads/2017/02/Children-of-care-leavers-policy-briefing.pdf</t>
  </si>
  <si>
    <t xml:space="preserve">Children of resilient care-experienced mothers matched peers at GCSE (53% against 29% for other care leavers' children).</t>
  </si>
  <si>
    <t xml:space="preserve">H35</t>
  </si>
  <si>
    <t xml:space="preserve">Economic inactivity due to sickness</t>
  </si>
  <si>
    <t xml:space="preserve">Loss to the Exchequer</t>
  </si>
  <si>
    <t xml:space="preserve">At least £11.2bn a year</t>
  </si>
  <si>
    <t xml:space="preserve">Commission analysis using OBR estimates</t>
  </si>
  <si>
    <t xml:space="preserve">IPPR Commission on Health and Prosperity (2024), Our greatest asset</t>
  </si>
  <si>
    <t xml:space="preserve">https://ippr-org.files.svdcdn.com/production/Downloads/Our_greatest_asset_Sept24.pdf</t>
  </si>
  <si>
    <t xml:space="preserve">H36</t>
  </si>
  <si>
    <t xml:space="preserve">Community safety</t>
  </si>
  <si>
    <t xml:space="preserve">Serious youth violence</t>
  </si>
  <si>
    <t>About £1.3bn in 2018/19 (minimum £700m), up over 50% since 2014/15</t>
  </si>
  <si>
    <t xml:space="preserve">Academic estimate</t>
  </si>
  <si>
    <t xml:space="preserve">2018/19</t>
  </si>
  <si>
    <t>Youth Violence Commission (2020), Final report</t>
  </si>
  <si>
    <t>https://wrap.warwick.ac.uk/id/eprint/154072/</t>
  </si>
  <si>
    <t>In 2015/16 prices, using Home Office unit costs. £1.3bn adds violence not recorded by the police, estimated from the crime survey; £700m uses police-recorded crime only (pp.42, 52). Serious violence affecting children fell in 2024/25 on YEF's three core measures.</t>
  </si>
  <si>
    <t xml:space="preserve">I01</t>
  </si>
  <si>
    <t xml:space="preserve">Intervention</t>
  </si>
  <si>
    <t xml:space="preserve">Health visitor psychological support to prevent postnatal depression (PoNDER)</t>
  </si>
  <si>
    <t xml:space="preserve">Cost per QALY</t>
  </si>
  <si>
    <t xml:space="preserve">Dominant: £82 lower cost and +0.002 QALY at 6 months; 99% probability cost-effective at £20k</t>
  </si>
  <si>
    <t xml:space="preserve">Cost-saving</t>
  </si>
  <si>
    <t xml:space="preserve">NHS community health</t>
  </si>
  <si>
    <t xml:space="preserve">NHS; mother and infant</t>
  </si>
  <si>
    <t xml:space="preserve">Cluster RCT with economic evaluation</t>
  </si>
  <si>
    <t xml:space="preserve">England (Trent)</t>
  </si>
  <si>
    <t xml:space="preserve">Henderson et al. (2019), Psychological Medicine</t>
  </si>
  <si>
    <t xml:space="preserve">https://doi.org/10.1017/S0033291718001940</t>
  </si>
  <si>
    <t xml:space="preserve">Lower-risk postnatal women.</t>
  </si>
  <si>
    <t xml:space="preserve">I02</t>
  </si>
  <si>
    <t xml:space="preserve">Culturally adapted group therapy for postnatal depression (ROSHNI-2)</t>
  </si>
  <si>
    <t xml:space="preserve">£19,601 per QALY; +£712 cost, +0.036 QALY; 53% probability cost-effective at £20k, 77% at £30k</t>
  </si>
  <si>
    <t xml:space="preserve">Cost-effective</t>
  </si>
  <si>
    <t xml:space="preserve">NHS</t>
  </si>
  <si>
    <t xml:space="preserve">Mother, infant, NHS</t>
  </si>
  <si>
    <t xml:space="preserve">RCT economic evaluation, 12 months</t>
  </si>
  <si>
    <t xml:space="preserve">UK (British South Asian women)</t>
  </si>
  <si>
    <t xml:space="preserve">ROSHNI-2 economic evaluation (2025), Lancet Psychiatry</t>
  </si>
  <si>
    <t xml:space="preserve">https://www.sciencedirect.com/science/article/pii/S2215036625000392</t>
  </si>
  <si>
    <t xml:space="preserve">Within the 2026 NICE range of £25,000–£35,000.</t>
  </si>
  <si>
    <t xml:space="preserve">I03</t>
  </si>
  <si>
    <t xml:space="preserve">Financial incentives to stop smoking in pregnancy (CPIT II)</t>
  </si>
  <si>
    <t xml:space="preserve">Cost per quitter; lifetime cost per QALY</t>
  </si>
  <si>
    <t xml:space="preserve">£1,127 per quitter; £482 per QALY (lifetime)</t>
  </si>
  <si>
    <t xml:space="preserve">NHS maternity</t>
  </si>
  <si>
    <t xml:space="preserve">Phase II RCT plus Markov model</t>
  </si>
  <si>
    <t xml:space="preserve">Scotland (Glasgow)</t>
  </si>
  <si>
    <t xml:space="preserve">Boyd et al. (2016), Addiction</t>
  </si>
  <si>
    <t xml:space="preserve">https://doi.org/10.1111/add.13160</t>
  </si>
  <si>
    <t xml:space="preserve">Up to £400 in vouchers. Relapse after birth uncertain.</t>
  </si>
  <si>
    <t xml:space="preserve">I04</t>
  </si>
  <si>
    <t xml:space="preserve">Financial incentives to stop smoking in pregnancy (CPIT III)</t>
  </si>
  <si>
    <t xml:space="preserve">Short term £150,000 per QALY; lifetime cost-saving (£37) with +0.171 QALY for mother and infant</t>
  </si>
  <si>
    <t xml:space="preserve">Mother, infant, NHS over lifetime</t>
  </si>
  <si>
    <t xml:space="preserve">Multicentre RCT (n=944) plus lifetime model</t>
  </si>
  <si>
    <t xml:space="preserve">Scotland, England, Northern Ireland</t>
  </si>
  <si>
    <t xml:space="preserve">2020</t>
  </si>
  <si>
    <t xml:space="preserve">McMeekin et al. (2023), Addiction</t>
  </si>
  <si>
    <t xml:space="preserve">https://doi.org/10.1111/add.16176</t>
  </si>
  <si>
    <t xml:space="preserve">The short-horizon view hides the return, which comes from infant outcomes.</t>
  </si>
  <si>
    <t xml:space="preserve">I05</t>
  </si>
  <si>
    <t xml:space="preserve">Family Nurse Partnership (Building Blocks trial)</t>
  </si>
  <si>
    <t xml:space="preserve">Cost per QALY; outcomes</t>
  </si>
  <si>
    <t xml:space="preserve">+£1,812 per participant; +0.0036 QALY; below 20% probability cost-effective. No effect on 4 primary outcomes</t>
  </si>
  <si>
    <t xml:space="preserve">No effect in UK trial</t>
  </si>
  <si>
    <t xml:space="preserve">LA public health</t>
  </si>
  <si>
    <t xml:space="preserve">Pragmatic RCT; BB:2–6 follow-up</t>
  </si>
  <si>
    <t xml:space="preserve">2012/13</t>
  </si>
  <si>
    <t xml:space="preserve">Corbacho et al. (2017), J Eval Clin Pract; NIHR PHR 9(2)</t>
  </si>
  <si>
    <t xml:space="preserve">https://doi.org/10.1111/jep.12799</t>
  </si>
  <si>
    <t xml:space="preserve">Follow-up found better KS1 reading but no reduction in maltreatment or social care referrals.</t>
  </si>
  <si>
    <t xml:space="preserve">I06</t>
  </si>
  <si>
    <t xml:space="preserve">Incredible Years parenting programme</t>
  </si>
  <si>
    <t xml:space="preserve">Cost per child moved into non-clinical range</t>
  </si>
  <si>
    <t xml:space="preserve">£1,344 per child; delivery £1,289–£1,934 per child</t>
  </si>
  <si>
    <t xml:space="preserve">LA and NHS</t>
  </si>
  <si>
    <t xml:space="preserve">Family, schools, NHS, justice later</t>
  </si>
  <si>
    <t xml:space="preserve">RCT with cost-effectiveness analysis</t>
  </si>
  <si>
    <t xml:space="preserve">Wales (Sure Start areas)</t>
  </si>
  <si>
    <t xml:space="preserve">Edwards et al. (2007), BMJ</t>
  </si>
  <si>
    <t xml:space="preserve">https://doi.org/10.1136/bmj.39126.699421.55</t>
  </si>
  <si>
    <t xml:space="preserve">Most cost-effective for the most severe cases.</t>
  </si>
  <si>
    <t xml:space="preserve">I07</t>
  </si>
  <si>
    <t xml:space="preserve">Parenting programmes to prevent persistent conduct disorder</t>
  </si>
  <si>
    <t xml:space="preserve">Return; payback</t>
  </si>
  <si>
    <t xml:space="preserve">£1,177 per family; public-sector savings 2.8–6.1 times cost; societal savings £16,435 over 25 years; payback 5–8 years</t>
  </si>
  <si>
    <t xml:space="preserve">Pays back</t>
  </si>
  <si>
    <t xml:space="preserve">Education, health, social care, justice</t>
  </si>
  <si>
    <t xml:space="preserve">2008/09</t>
  </si>
  <si>
    <t xml:space="preserve">Bonin et al. (2011), BMC Public Health</t>
  </si>
  <si>
    <t xml:space="preserve">https://link.springer.com/article/10.1186/1471-2458-11-803</t>
  </si>
  <si>
    <t xml:space="preserve">Classic wrong-pocket case: savings spread across four systems.</t>
  </si>
  <si>
    <t xml:space="preserve">I08</t>
  </si>
  <si>
    <t xml:space="preserve">Integrated early years centres (Sure Start)</t>
  </si>
  <si>
    <t xml:space="preserve">Benefit per £1</t>
  </si>
  <si>
    <t xml:space="preserve">£2.05 total benefit per £1; £2.4bn to the Exchequer per cohort against £2.7bn peak annual cost (£0.6bn service savings plus £1.9bn tax)</t>
  </si>
  <si>
    <t xml:space="preserve">DfE and LAs</t>
  </si>
  <si>
    <t xml:space="preserve">NHS, SEND, social care, HM Treasury, children's earnings</t>
  </si>
  <si>
    <t xml:space="preserve">Quasi-experimental evaluation with cost-benefit</t>
  </si>
  <si>
    <t xml:space="preserve">IFS (2025), Sure Start's wide-ranging and long-lasting benefits</t>
  </si>
  <si>
    <t xml:space="preserve">https://ifs.org.uk/news/sure-starts-wide-ranging-and-long-lasting-benefits-highlight-impact-integrated-early-years</t>
  </si>
  <si>
    <t xml:space="preserve">Components as reported (£0.6bn plus £1.9bn; the source rounds to £2.4bn). Benefits largest in deprived areas and from early, better-funded centres.</t>
  </si>
  <si>
    <t xml:space="preserve">I09</t>
  </si>
  <si>
    <t xml:space="preserve">Parent-mediated communication therapy for autism (PACT)</t>
  </si>
  <si>
    <t xml:space="preserve">Incremental cost</t>
  </si>
  <si>
    <t xml:space="preserve">+£4,489 per child over 13 months (service perspective); cost-effectiveness not supported</t>
  </si>
  <si>
    <t xml:space="preserve">Uncertain</t>
  </si>
  <si>
    <t xml:space="preserve">RCT economic evaluation</t>
  </si>
  <si>
    <t xml:space="preserve">2006/07</t>
  </si>
  <si>
    <t xml:space="preserve">Byford et al. (2015), BMC Psychiatry</t>
  </si>
  <si>
    <t xml:space="preserve">https://link.springer.com/article/10.1186/s12888-015-0700-x</t>
  </si>
  <si>
    <t xml:space="preserve">Long-term follow-up had no economic analysis.</t>
  </si>
  <si>
    <t xml:space="preserve">I10</t>
  </si>
  <si>
    <t xml:space="preserve">School-based social and emotional learning</t>
  </si>
  <si>
    <t xml:space="preserve">Return per £1</t>
  </si>
  <si>
    <t xml:space="preserve">£5.05 per £1 over 7 years</t>
  </si>
  <si>
    <t xml:space="preserve">Schools</t>
  </si>
  <si>
    <t xml:space="preserve">Parents' employers, NHS</t>
  </si>
  <si>
    <t xml:space="preserve">McDaid, Park and Knapp (2017), for Public Health England</t>
  </si>
  <si>
    <t xml:space="preserve">https://www.lse.ac.uk/business/consulting/assets/documents/commissioning-cost-effective-services-for-promotion-of-mental-health-and-wellbeing-and-prevention-of-mental-ill-health.pdf</t>
  </si>
  <si>
    <t xml:space="preserve">Positive only when parents' absenteeism costs are counted.</t>
  </si>
  <si>
    <t xml:space="preserve">I11</t>
  </si>
  <si>
    <t xml:space="preserve">KiVa anti-bullying programme</t>
  </si>
  <si>
    <t xml:space="preserve">£1.58 per £1 over 4 years; £3.97–£5.58 including wage effects at 18</t>
  </si>
  <si>
    <t xml:space="preserve">NHS, pupils' future earnings</t>
  </si>
  <si>
    <t xml:space="preserve">England primary</t>
  </si>
  <si>
    <t xml:space="preserve">Net cost £4,658 per 200-pupil cohort.</t>
  </si>
  <si>
    <t xml:space="preserve">I12</t>
  </si>
  <si>
    <t xml:space="preserve">Social skills training</t>
  </si>
  <si>
    <t xml:space="preserve">Effect on crime</t>
  </si>
  <si>
    <t xml:space="preserve">−32% crime involvement (high confidence); PATHS about £11.52 per child per year</t>
  </si>
  <si>
    <t xml:space="preserve">Effective, low cost</t>
  </si>
  <si>
    <t xml:space="preserve">Community, justice</t>
  </si>
  <si>
    <t xml:space="preserve">Meta-analysis (YEF Toolkit)</t>
  </si>
  <si>
    <t xml:space="preserve">International</t>
  </si>
  <si>
    <t xml:space="preserve">Youth Endowment Fund Toolkit, Social skills training</t>
  </si>
  <si>
    <t xml:space="preserve">https://youthendowmentfund.org.uk/toolkit/social-skills-training/</t>
  </si>
  <si>
    <t xml:space="preserve">About a fifth of studies showed increases.</t>
  </si>
  <si>
    <t xml:space="preserve">I13</t>
  </si>
  <si>
    <t xml:space="preserve">Cognitive behavioural therapy for children at risk</t>
  </si>
  <si>
    <t xml:space="preserve">−27% crime on average (moderate confidence)</t>
  </si>
  <si>
    <t xml:space="preserve">Effective, cost unclear</t>
  </si>
  <si>
    <t xml:space="preserve">NHS, YJS</t>
  </si>
  <si>
    <t xml:space="preserve">Youth Endowment Fund Toolkit, CBT</t>
  </si>
  <si>
    <t xml:space="preserve">https://youthendowmentfund.org.uk/toolkit/cognitive-behavioural-therapy/</t>
  </si>
  <si>
    <t xml:space="preserve">UK studies show smaller effects than international ones.</t>
  </si>
  <si>
    <t xml:space="preserve">I14</t>
  </si>
  <si>
    <t xml:space="preserve">Mentoring</t>
  </si>
  <si>
    <t xml:space="preserve">Effect on violence</t>
  </si>
  <si>
    <t xml:space="preserve">−21% violence (moderate confidence); UK cost £11,903 per mentee (2001–04)</t>
  </si>
  <si>
    <t xml:space="preserve">LA, VCS, YJS</t>
  </si>
  <si>
    <t xml:space="preserve">International; UK costs</t>
  </si>
  <si>
    <t xml:space="preserve">2001–04 (cost)</t>
  </si>
  <si>
    <t xml:space="preserve">Youth Endowment Fund Toolkit, Mentoring</t>
  </si>
  <si>
    <t xml:space="preserve">https://youthendowmentfund.org.uk/toolkit/mentoring/</t>
  </si>
  <si>
    <t xml:space="preserve">I15</t>
  </si>
  <si>
    <t xml:space="preserve">Focused deterrence</t>
  </si>
  <si>
    <t xml:space="preserve">−33% (high confidence); about £1,200 (Northamptonshire) to £2,500 (Glasgow CIRV) per participant</t>
  </si>
  <si>
    <t xml:space="preserve">Police, LA</t>
  </si>
  <si>
    <t xml:space="preserve">Community, justice, NHS</t>
  </si>
  <si>
    <t xml:space="preserve">Meta-analysis (YEF Toolkit), mostly US</t>
  </si>
  <si>
    <t xml:space="preserve">Youth Endowment Fund Toolkit, Focused deterrence</t>
  </si>
  <si>
    <t xml:space="preserve">https://youthendowmentfund.org.uk/toolkit/focused-deterrence/</t>
  </si>
  <si>
    <t xml:space="preserve">UK multisite RCT under way; some researchers dispute transfer from US studies.</t>
  </si>
  <si>
    <t xml:space="preserve">I16</t>
  </si>
  <si>
    <t xml:space="preserve">Trauma-specific therapies</t>
  </si>
  <si>
    <t xml:space="preserve">−45% (very low confidence); £500–£1,500 per intervention</t>
  </si>
  <si>
    <t xml:space="preserve">Four small studies, none UK</t>
  </si>
  <si>
    <t xml:space="preserve">Youth Endowment Fund Toolkit, Trauma-specific therapies</t>
  </si>
  <si>
    <t xml:space="preserve">https://youthendowmentfund.org.uk/toolkit/trauma-specific-therapies/</t>
  </si>
  <si>
    <t xml:space="preserve">I17</t>
  </si>
  <si>
    <t xml:space="preserve">Pre-court diversion</t>
  </si>
  <si>
    <t xml:space="preserve">Effect on reoffending</t>
  </si>
  <si>
    <t xml:space="preserve">−13% reoffending (high confidence); low cost, likely saves money</t>
  </si>
  <si>
    <t xml:space="preserve">Police, YJS</t>
  </si>
  <si>
    <t xml:space="preserve">Courts, custody, community</t>
  </si>
  <si>
    <t xml:space="preserve">Mostly US</t>
  </si>
  <si>
    <t xml:space="preserve">Youth Endowment Fund Toolkit, Pre-court diversion</t>
  </si>
  <si>
    <t xml:space="preserve">https://youthendowmentfund.org.uk/toolkit/pre-court-diversion/</t>
  </si>
  <si>
    <t xml:space="preserve">I18</t>
  </si>
  <si>
    <t xml:space="preserve">Multisystemic Therapy (START trial)</t>
  </si>
  <si>
    <t xml:space="preserve">Out-of-home placement; cost</t>
  </si>
  <si>
    <t xml:space="preserve">13% against 11% (no significant difference); below 18% probability cost-effective</t>
  </si>
  <si>
    <t xml:space="preserve">LA</t>
  </si>
  <si>
    <t xml:space="preserve">RCT (n=684)</t>
  </si>
  <si>
    <t xml:space="preserve">Fonagy et al. (2018), Lancet Psychiatry</t>
  </si>
  <si>
    <t xml:space="preserve">https://pmc.ncbi.nlm.nih.gov/articles/PMC6697182/</t>
  </si>
  <si>
    <t xml:space="preserve">More offences in the MST arm at 18 months.</t>
  </si>
  <si>
    <t xml:space="preserve">I19</t>
  </si>
  <si>
    <t xml:space="preserve">Functional Family Therapy</t>
  </si>
  <si>
    <t xml:space="preserve">Offending</t>
  </si>
  <si>
    <t xml:space="preserve">No difference from usual care at 6 or 18 months</t>
  </si>
  <si>
    <t xml:space="preserve">YJS</t>
  </si>
  <si>
    <t xml:space="preserve">RCT (n=111)</t>
  </si>
  <si>
    <t xml:space="preserve">Humayun et al. (2017), JCPP</t>
  </si>
  <si>
    <t xml:space="preserve">https://doi.org/10.1111/jcpp.12743</t>
  </si>
  <si>
    <t xml:space="preserve">Small trial; no UK cost-benefit found.</t>
  </si>
  <si>
    <t xml:space="preserve">I20</t>
  </si>
  <si>
    <t xml:space="preserve">Violence Reduction Units (whole-system approach)</t>
  </si>
  <si>
    <t xml:space="preserve">Hospital admissions prevented</t>
  </si>
  <si>
    <t xml:space="preserve">≈3,220 admissions for violent injury prevented since 2019; no significant effect on sharp-object admissions or homicide</t>
  </si>
  <si>
    <t xml:space="preserve">Home Office</t>
  </si>
  <si>
    <t xml:space="preserve">NHS, community</t>
  </si>
  <si>
    <t xml:space="preserve">Quasi-experimental national evaluation</t>
  </si>
  <si>
    <t xml:space="preserve">2022/23</t>
  </si>
  <si>
    <t xml:space="preserve">Home Office (2023), Violence Reduction Units 2022 to 2023</t>
  </si>
  <si>
    <t xml:space="preserve">https://www.gov.uk/government/publications/violence-reduction-units-year-ending-march-2023-evaluation-report/violence-reduction-units-2022-to-2023</t>
  </si>
  <si>
    <t xml:space="preserve">Effects on the most serious violence may take longer to appear.</t>
  </si>
  <si>
    <t xml:space="preserve">I21</t>
  </si>
  <si>
    <t xml:space="preserve">ADHD medication</t>
  </si>
  <si>
    <t xml:space="preserve">Criminality during medicated periods</t>
  </si>
  <si>
    <t xml:space="preserve">−32% men; −41% women</t>
  </si>
  <si>
    <t xml:space="preserve">Justice, community</t>
  </si>
  <si>
    <t xml:space="preserve">Within-person register study (n=25,656)</t>
  </si>
  <si>
    <t xml:space="preserve">Sweden</t>
  </si>
  <si>
    <t xml:space="preserve">Lichtenstein et al. (2012), NEJM</t>
  </si>
  <si>
    <t xml:space="preserve">https://doi.org/10.1056/NEJMoa1203241</t>
  </si>
  <si>
    <t xml:space="preserve">Observational; not proof of causation. No UK cost analysis.</t>
  </si>
  <si>
    <t xml:space="preserve">I22</t>
  </si>
  <si>
    <t xml:space="preserve">Brain injury linkworker services in custody</t>
  </si>
  <si>
    <t xml:space="preserve">Case saving</t>
  </si>
  <si>
    <t xml:space="preserve">One case about £83,000 cheaper through rehabilitation than prison</t>
  </si>
  <si>
    <t xml:space="preserve">HMPPS, VCS</t>
  </si>
  <si>
    <t xml:space="preserve">Justice, NHS</t>
  </si>
  <si>
    <t xml:space="preserve">Case example in written evidence</t>
  </si>
  <si>
    <t xml:space="preserve">The Disabilities Trust, written evidence PRF0033</t>
  </si>
  <si>
    <t xml:space="preserve">https://committees.parliament.uk/writtenevidence/72380/html/</t>
  </si>
  <si>
    <t xml:space="preserve">No cost-effectiveness study found. A priority gap for Threshold.</t>
  </si>
  <si>
    <t xml:space="preserve">I23</t>
  </si>
  <si>
    <t xml:space="preserve">Youth work</t>
  </si>
  <si>
    <t xml:space="preserve">£3.20–£6.40 central (range £2.50–£7.80)</t>
  </si>
  <si>
    <t xml:space="preserve">LA, VCS</t>
  </si>
  <si>
    <t xml:space="preserve">Justice, NHS, economy</t>
  </si>
  <si>
    <t xml:space="preserve">Modelled estimate, self-described lower bound</t>
  </si>
  <si>
    <t xml:space="preserve">Frontier Economics for UK Youth (2022)</t>
  </si>
  <si>
    <t xml:space="preserve">https://www.ukyouth.org/wp-content/uploads/2022/11/Economic-Value-of-Youth-Work-Full-Report.pdf</t>
  </si>
  <si>
    <t xml:space="preserve">Limited causal evidence; 10-year horizon. Youth service spend fell about 73% since 2010/11.</t>
  </si>
  <si>
    <t xml:space="preserve">I24</t>
  </si>
  <si>
    <t xml:space="preserve">Early intervention in psychosis</t>
  </si>
  <si>
    <t>At least £15 per £1 over 10 years; £2,087 per person in employment and education gains over 3 years</t>
  </si>
  <si>
    <t xml:space="preserve">NHS mental health</t>
  </si>
  <si>
    <t xml:space="preserve">NHS, DWP, economy</t>
  </si>
  <si>
    <t>Charity-published model (Knapp et al. 2014); Park et al. (2016) model</t>
  </si>
  <si>
    <t>Knapp et al. (2014), Investing in recovery (Rethink Mental Illness), p.10; Park, McCrone and Knapp (2016)</t>
  </si>
  <si>
    <t>https://eprints.lse.ac.uk/56773/</t>
  </si>
  <si>
    <t>Knapp et al. (2014) give net savings per person in 2012/13 prices (Table 2, p.10): £5,738 in year 1, £2,234 over years 1 to 3 and £6,780 over years 4 to 10. The calculation of the £15 per £1 ratio is not shown. NHS England (2023) and Rethink repeat the figure without a citation. Park et al. figures are in 2009 prices (p.145); the £2,087 is reduced lost productivity over years 1 to 3 (Table 3, p.147).</t>
  </si>
  <si>
    <t xml:space="preserve">I25</t>
  </si>
  <si>
    <t xml:space="preserve">NHS Talking Therapies (IAPT)</t>
  </si>
  <si>
    <t xml:space="preserve">£16,857 (EQ-5D) to £29,500 (SF-6D)</t>
  </si>
  <si>
    <t xml:space="preserve">NHS, DWP, employers</t>
  </si>
  <si>
    <t xml:space="preserve">Observational comparison</t>
  </si>
  <si>
    <t xml:space="preserve">England (Doncaster)</t>
  </si>
  <si>
    <t xml:space="preserve">≈2007–09</t>
  </si>
  <si>
    <t xml:space="preserve">Mukuria et al. (2013), BJPsych</t>
  </si>
  <si>
    <t xml:space="preserve">https://doi.org/10.1192/bjp.bp.111.107888</t>
  </si>
  <si>
    <t xml:space="preserve">Large uncertainty.</t>
  </si>
  <si>
    <t xml:space="preserve">I26</t>
  </si>
  <si>
    <t xml:space="preserve">Liaison and Diversion services</t>
  </si>
  <si>
    <t xml:space="preserve">Cost and saving per referral</t>
  </si>
  <si>
    <t xml:space="preserve">£659 cost against £933 saving; likelihood of custody about halved; no effect on reoffending</t>
  </si>
  <si>
    <t xml:space="preserve">NHS England</t>
  </si>
  <si>
    <t xml:space="preserve">Courts, prisons</t>
  </si>
  <si>
    <t xml:space="preserve">Quasi-experimental evaluation</t>
  </si>
  <si>
    <t xml:space="preserve">RAND Europe (2021)</t>
  </si>
  <si>
    <t xml:space="preserve">https://www.rand.org/pubs/research_briefs/RBA1271-1.html</t>
  </si>
  <si>
    <t xml:space="preserve">Savings come from diversion from custody.</t>
  </si>
  <si>
    <t xml:space="preserve">I27</t>
  </si>
  <si>
    <t xml:space="preserve">Drug and alcohol treatment</t>
  </si>
  <si>
    <t xml:space="preserve">Drugs £4 per £1, £21 over 10 years; alcohol £3 per £1, £26 over 10 years</t>
  </si>
  <si>
    <t xml:space="preserve">Police, courts, NHS, children's services</t>
  </si>
  <si>
    <t xml:space="preserve">Government evidence summary</t>
  </si>
  <si>
    <t xml:space="preserve">2018</t>
  </si>
  <si>
    <t xml:space="preserve">Public Health England (2018), Alcohol and drug prevention, treatment and recovery: why invest?</t>
  </si>
  <si>
    <t xml:space="preserve">https://www.gov.uk/government/publications/alcohol-and-drug-prevention-treatment-and-recovery-why-invest/alcohol-and-drug-prevention-treatment-and-recovery-why-invest</t>
  </si>
  <si>
    <t xml:space="preserve">An older NDTMS estimate gave £2.50 per £1.</t>
  </si>
  <si>
    <t xml:space="preserve">I28</t>
  </si>
  <si>
    <t xml:space="preserve">Multi-agency risk assessment conferences (MARAC)</t>
  </si>
  <si>
    <t xml:space="preserve">At least £6 of public money saved per £1 each year</t>
  </si>
  <si>
    <t xml:space="preserve">Police, NHS, LA</t>
  </si>
  <si>
    <t xml:space="preserve">Charity analysis</t>
  </si>
  <si>
    <t xml:space="preserve">2010</t>
  </si>
  <si>
    <t xml:space="preserve">CAADA/SafeLives (2010), Saving lives, saving money</t>
  </si>
  <si>
    <t xml:space="preserve">http://safelives.org.uk/research-policy-library/saving-lives-saving-money-report/</t>
  </si>
  <si>
    <t xml:space="preserve">Dated; direct agency costs only.</t>
  </si>
  <si>
    <t xml:space="preserve">I29</t>
  </si>
  <si>
    <t xml:space="preserve">Drive domestic abuse perpetrator programme</t>
  </si>
  <si>
    <t xml:space="preserve">Change in abuse</t>
  </si>
  <si>
    <t xml:space="preserve">Physical abuse −82%; harassment and stalking −75%; jealous and controlling behaviour −73%</t>
  </si>
  <si>
    <t xml:space="preserve">PCCs, LA</t>
  </si>
  <si>
    <t xml:space="preserve">Victims, children, police</t>
  </si>
  <si>
    <t xml:space="preserve">Independent evaluation (University of Bristol)</t>
  </si>
  <si>
    <t xml:space="preserve">2016–19</t>
  </si>
  <si>
    <t xml:space="preserve">SafeLives, Responding to perpetrators</t>
  </si>
  <si>
    <t xml:space="preserve">https://safelives.org.uk/about-domestic-abuse/responding-to-perpetrators/</t>
  </si>
  <si>
    <t xml:space="preserve">No cost data reported.</t>
  </si>
  <si>
    <t xml:space="preserve">I30</t>
  </si>
  <si>
    <t xml:space="preserve">Housing First</t>
  </si>
  <si>
    <t xml:space="preserve">Benefit-cost ratio</t>
  </si>
  <si>
    <t xml:space="preserve">Expected 2.1; observed 1.1 at 12 months; £10,915 per person housed per year</t>
  </si>
  <si>
    <t xml:space="preserve">LA, MHCLG</t>
  </si>
  <si>
    <t xml:space="preserve">NHS, justice, the person</t>
  </si>
  <si>
    <t xml:space="preserve">Official pilot evaluation</t>
  </si>
  <si>
    <t xml:space="preserve">England (3 regions)</t>
  </si>
  <si>
    <t xml:space="preserve">MHCLG (2024), Evaluation of the Housing First pilots: cost benefit analysis</t>
  </si>
  <si>
    <t xml:space="preserve">https://assets.publishing.service.gov.uk/media/671a6fea603993b7a8f75db5/Housing_First_Cost_Benefit_Analysis_Report.pdf</t>
  </si>
  <si>
    <t xml:space="preserve">Benefits combine service savings with monetised wellbeing.</t>
  </si>
  <si>
    <t xml:space="preserve">I31</t>
  </si>
  <si>
    <t xml:space="preserve">Individual Placement and Support (employment)</t>
  </si>
  <si>
    <t xml:space="preserve">Cost against saving</t>
  </si>
  <si>
    <t>£2,700 per person (one-off); about £3,000 a year saved in mental health service use</t>
  </si>
  <si>
    <t xml:space="preserve">NHS, DWP</t>
  </si>
  <si>
    <t xml:space="preserve">NHS, DWP, the person</t>
  </si>
  <si>
    <t>Charity economic analysis</t>
  </si>
  <si>
    <t>Parsonage, Grant and Stubbs (2016), Priorities for mental health: economic report for the NHS England Mental Health Taskforce</t>
  </si>
  <si>
    <t>https://www.centreformentalhealth.org.uk/wp-content/uploads/2018/09/priorities.pdf</t>
  </si>
  <si>
    <t xml:space="preserve">I32</t>
  </si>
  <si>
    <t xml:space="preserve">Pause (women who have had children removed)</t>
  </si>
  <si>
    <t xml:space="preserve">£4.50 per £1 over 4 years; £7.61 over 18 years; 14.4 fewer infants entering care per LA per year</t>
  </si>
  <si>
    <t xml:space="preserve">LA children's services</t>
  </si>
  <si>
    <t xml:space="preserve">LA, courts, the women and future children</t>
  </si>
  <si>
    <t xml:space="preserve">DfE-funded evaluation</t>
  </si>
  <si>
    <t xml:space="preserve">Boddy et al. (2020), Evaluation of Pause, DfE Children's Social Care Innovation Programme</t>
  </si>
  <si>
    <t xml:space="preserve">https://assets.publishing.service.gov.uk/media/5fa2d5e2d3bf7f03b3ee4925/Pause_-_Sussex.pdf</t>
  </si>
  <si>
    <t xml:space="preserve">Based on five continuously operating practices. Savings depend on assumptions about avoided removals.</t>
  </si>
  <si>
    <t xml:space="preserve">I33</t>
  </si>
  <si>
    <t xml:space="preserve">Minimum unit pricing for alcohol</t>
  </si>
  <si>
    <t xml:space="preserve">Deaths and admissions</t>
  </si>
  <si>
    <t xml:space="preserve">Deaths wholly attributable to alcohol −13.4% (≈156 a year); admissions −4.1% (not statistically significant); largest falls in most deprived areas</t>
  </si>
  <si>
    <t xml:space="preserve">Legislation</t>
  </si>
  <si>
    <t xml:space="preserve">NHS, families, deprived areas</t>
  </si>
  <si>
    <t xml:space="preserve">Controlled interrupted time series</t>
  </si>
  <si>
    <t xml:space="preserve">Scotland</t>
  </si>
  <si>
    <t xml:space="preserve">2018–2020</t>
  </si>
  <si>
    <t xml:space="preserve">Public Health Scotland (2023); Wyper et al. (2023), Lancet</t>
  </si>
  <si>
    <t xml:space="preserve">https://pmc.ncbi.nlm.nih.gov/articles/PMC10154457/</t>
  </si>
  <si>
    <t xml:space="preserve">Not in force in England.</t>
  </si>
  <si>
    <t xml:space="preserve">I34</t>
  </si>
  <si>
    <t xml:space="preserve">Public health interventions (all types)</t>
  </si>
  <si>
    <t xml:space="preserve">Median return per £1</t>
  </si>
  <si>
    <t xml:space="preserve">14.3 overall; 4.1 local; 27.2 national; legislation highest</t>
  </si>
  <si>
    <t xml:space="preserve">Public health</t>
  </si>
  <si>
    <t xml:space="preserve">NHS and wider economy</t>
  </si>
  <si>
    <t xml:space="preserve">Systematic review (52 studies)</t>
  </si>
  <si>
    <t xml:space="preserve">High-income countries</t>
  </si>
  <si>
    <t xml:space="preserve">various</t>
  </si>
  <si>
    <t xml:space="preserve">Masters et al. (2017), J Epidemiol Community Health</t>
  </si>
  <si>
    <t xml:space="preserve">https://pubmed.ncbi.nlm.nih.gov/28356325/</t>
  </si>
  <si>
    <t xml:space="preserve">Heterogeneous methods; medians, not predictions for any one programme.</t>
  </si>
  <si>
    <t xml:space="preserve">I35</t>
  </si>
  <si>
    <t xml:space="preserve">Local public health grant (marginal spend)</t>
  </si>
  <si>
    <t xml:space="preserve">Cost per year of good health</t>
  </si>
  <si>
    <t xml:space="preserve">£3,800 against £13,500 through NHS interventions</t>
  </si>
  <si>
    <t xml:space="preserve">DHSC to LAs</t>
  </si>
  <si>
    <t xml:space="preserve">NHS, population</t>
  </si>
  <si>
    <t xml:space="preserve">Analysis citing marginal productivity studies</t>
  </si>
  <si>
    <t xml:space="preserve">Health Foundation (2025), Investing in the public health grant</t>
  </si>
  <si>
    <t xml:space="preserve">https://www.health.org.uk/reports-and-analysis/analysis/investing-in-the-public-health-grant</t>
  </si>
  <si>
    <t xml:space="preserve">Grant cut about 26–28% per person in real terms since 2015/16.</t>
  </si>
  <si>
    <t xml:space="preserve">P01</t>
  </si>
  <si>
    <t xml:space="preserve">Valuation parameter</t>
  </si>
  <si>
    <t xml:space="preserve">Valuation</t>
  </si>
  <si>
    <t xml:space="preserve">Value of a QALY (HM Treasury)</t>
  </si>
  <si>
    <t xml:space="preserve">£ per QALY</t>
  </si>
  <si>
    <t xml:space="preserve">£70,000</t>
  </si>
  <si>
    <t xml:space="preserve">Green Book guidance</t>
  </si>
  <si>
    <t>HM Treasury Green Book (2022), Annex 1, para A1.64 (hosted copy)</t>
  </si>
  <si>
    <t xml:space="preserve">https://www.ohe.org/wp-content/uploads/2020/08/The_Green_Book.pdf</t>
  </si>
  <si>
    <t xml:space="preserve">Used to value health in social cost-benefit analysis. Differs from NICE's threshold, which is an opportunity cost.</t>
  </si>
  <si>
    <t xml:space="preserve">P02</t>
  </si>
  <si>
    <t xml:space="preserve">Value of a WELLBY</t>
  </si>
  <si>
    <t xml:space="preserve">£ per point of life satisfaction per year</t>
  </si>
  <si>
    <t xml:space="preserve">£13,000 (range £10,000–£16,000)</t>
  </si>
  <si>
    <t xml:space="preserve">Supplementary Green Book guidance</t>
  </si>
  <si>
    <t xml:space="preserve">HM Treasury (2021), Wellbeing guidance for appraisal</t>
  </si>
  <si>
    <t xml:space="preserve">https://assets.publishing.service.gov.uk/media/60fa9169d3bf7f0448719daf/Wellbeing_guidance_for_appraisal_-_supplementary_Green_Book_guidance.pdf</t>
  </si>
  <si>
    <t xml:space="preserve">Suits prevention outcomes that do not map neatly onto health states.</t>
  </si>
  <si>
    <t xml:space="preserve">P03</t>
  </si>
  <si>
    <t xml:space="preserve">NICE cost-effectiveness threshold</t>
  </si>
  <si>
    <t xml:space="preserve">£25,000–£35,000 from April 2026 (was £20,000–£30,000)</t>
  </si>
  <si>
    <t xml:space="preserve">NICE announcement</t>
  </si>
  <si>
    <t xml:space="preserve">NICE (2025), Changes to NICE's cost-effectiveness thresholds confirmed</t>
  </si>
  <si>
    <t xml:space="preserve">https://www.nice.org.uk/news/articles/changes-to-nice-s-cost-effectiveness-thresholds-confirmed</t>
  </si>
  <si>
    <t xml:space="preserve">P04</t>
  </si>
  <si>
    <t xml:space="preserve">Discount rates</t>
  </si>
  <si>
    <t xml:space="preserve">Annual rate</t>
  </si>
  <si>
    <t xml:space="preserve">Standard 3.5% (years 1–30), 3.0% (31–75); health 1.5% (years 1–30)</t>
  </si>
  <si>
    <t xml:space="preserve">Green Book supplementary guidance</t>
  </si>
  <si>
    <t xml:space="preserve">HM Treasury (2026), Discounting guidance</t>
  </si>
  <si>
    <t xml:space="preserve">https://assets.publishing.service.gov.uk/media/698488ab2df808759a7bd70f/Green_Book_supplementary_guidance_-_discounting.pdf</t>
  </si>
  <si>
    <t xml:space="preserve">Discounting shrinks returns that arrive decades later, which is where much prevention value sits.</t>
  </si>
  <si>
    <t xml:space="preserve">P05</t>
  </si>
  <si>
    <t xml:space="preserve">Proposed discount rate reform</t>
  </si>
  <si>
    <t xml:space="preserve">Single 3% rate (years 0–30); separate health rate abolished</t>
  </si>
  <si>
    <t xml:space="preserve">Independent review, not yet policy</t>
  </si>
  <si>
    <t xml:space="preserve">June 2026</t>
  </si>
  <si>
    <t xml:space="preserve">Green Book Discount Rate Review: summary of findings and recommendations (2026)</t>
  </si>
  <si>
    <t xml:space="preserve">https://assets.publishing.service.gov.uk/media/6a43915e7ac6fd9c6a94abbe/Findings_and_Recommendations_-_Green_Book_Discount_Rate_Review.pdf</t>
  </si>
  <si>
    <t xml:space="preserve">Run as a sensitivity test only.</t>
  </si>
  <si>
    <t xml:space="preserve">P06</t>
  </si>
  <si>
    <t xml:space="preserve">UK DALYs by risk factor (GBD 2021)</t>
  </si>
  <si>
    <t xml:space="preserve">DALYs per year</t>
  </si>
  <si>
    <t xml:space="preserve">Mental ill-health 1.45m; tobacco 1.4m; diet 1.05m; alcohol 562,015; physical inactivity 210,970</t>
  </si>
  <si>
    <t xml:space="preserve">Peer-reviewed analysis of GBD 2021</t>
  </si>
  <si>
    <t xml:space="preserve">2021</t>
  </si>
  <si>
    <t xml:space="preserve">Owen and Taylor (2026), Journal of Public Health</t>
  </si>
  <si>
    <t xml:space="preserve">https://pmc.ncbi.nlm.nih.gov/articles/PMC13223565</t>
  </si>
  <si>
    <t xml:space="preserve">Risk-attributable burdens overlap and cannot be summed.</t>
  </si>
  <si>
    <t xml:space="preserve">P07</t>
  </si>
  <si>
    <t xml:space="preserve">Prevention share of health spend</t>
  </si>
  <si>
    <t xml:space="preserve">Share of spend</t>
  </si>
  <si>
    <t xml:space="preserve">5% (£8bn) on prevention against 60% (£97bn) on cure and rehabilitation</t>
  </si>
  <si>
    <t xml:space="preserve">Government policy paper</t>
  </si>
  <si>
    <t xml:space="preserve">DHSC (2018), Prevention is better than cure</t>
  </si>
  <si>
    <t xml:space="preserve">https://assets.publishing.service.gov.uk/government/uploads/system/uploads/attachment_data/file/753688/Prevention_is_better_than_cure_5-11.pdf</t>
  </si>
  <si>
    <t xml:space="preserve">How spend is split, not an estimate of how much is preventable.</t>
  </si>
  <si>
    <t xml:space="preserve">F01</t>
  </si>
  <si>
    <t xml:space="preserve">Forecast</t>
  </si>
  <si>
    <t xml:space="preserve">People living with major illness</t>
  </si>
  <si>
    <t xml:space="preserve">Projection to 2040</t>
  </si>
  <si>
    <t xml:space="preserve">9.1m by 2040, up 2.5m (37%); working-age population grows 4%</t>
  </si>
  <si>
    <t xml:space="preserve">Microsimulation</t>
  </si>
  <si>
    <t xml:space="preserve">Health Foundation REAL Centre (2023), Health in 2040</t>
  </si>
  <si>
    <t xml:space="preserve">https://www.health.org.uk/publications/health-in-2040</t>
  </si>
  <si>
    <t xml:space="preserve">F02</t>
  </si>
  <si>
    <t xml:space="preserve">Working-age people with major illness</t>
  </si>
  <si>
    <t xml:space="preserve">3.0m (2019) to 3.7m (2040); 80% of the rise in the more deprived half of areas</t>
  </si>
  <si>
    <t xml:space="preserve">Health Foundation press release (2023)</t>
  </si>
  <si>
    <t xml:space="preserve">https://www.health.org.uk/press-office/press-releases/700000-more-workers-are-projected-to-be-living-with-major-illness-by</t>
  </si>
  <si>
    <t xml:space="preserve">F03</t>
  </si>
  <si>
    <t xml:space="preserve">Health spending</t>
  </si>
  <si>
    <t xml:space="preserve">Share of GDP</t>
  </si>
  <si>
    <t xml:space="preserve">8% in 2030/31 rising to 13% by 2075/76 (about 9% without cost pressures)</t>
  </si>
  <si>
    <t xml:space="preserve">OBR long-term projection</t>
  </si>
  <si>
    <t xml:space="preserve">OBR (2026), Fiscal risks and sustainability</t>
  </si>
  <si>
    <t xml:space="preserve">https://assets.publishing.service.gov.uk/media/6a4cb4c74889d85e75ab40e0/E03599617_OBR_FRS_2026_Accessible.pdf</t>
  </si>
  <si>
    <t xml:space="preserve">F04</t>
  </si>
  <si>
    <t xml:space="preserve">Health-related welfare spending</t>
  </si>
  <si>
    <t xml:space="preserve">Risk scenario</t>
  </si>
  <si>
    <t xml:space="preserve">About £12bn higher in 2029/30 if incapacity onflows stay at current levels</t>
  </si>
  <si>
    <t xml:space="preserve">OBR risk scenario</t>
  </si>
  <si>
    <t xml:space="preserve">OBR (2025), Fiscal risks and sustainability</t>
  </si>
  <si>
    <t xml:space="preserve">https://obr.uk/frs/fiscal-risks-and-sustainability-july-2025/</t>
  </si>
  <si>
    <t xml:space="preserve">Onflows have doubled since the pandemic.</t>
  </si>
  <si>
    <t xml:space="preserve">F05</t>
  </si>
  <si>
    <t xml:space="preserve">SEND high-needs funding</t>
  </si>
  <si>
    <t xml:space="preserve">Funding gap</t>
  </si>
  <si>
    <t xml:space="preserve">Gap about £2.3bn by 2027/28; deficits about £5bn by March 2026; EHC plans 237,000 (2016) to 434,000 (2024)</t>
  </si>
  <si>
    <t xml:space="preserve">IFS analysis</t>
  </si>
  <si>
    <t xml:space="preserve">IFS (2025), Schools and colleges in the 2025 Spending Review</t>
  </si>
  <si>
    <t xml:space="preserve">https://ifs.org.uk/publications/schools-and-colleges-2025-spending-review</t>
  </si>
  <si>
    <t xml:space="preserve">The clearest neurodevelopmental pressure on public finances.</t>
  </si>
  <si>
    <t xml:space="preserve">F06</t>
  </si>
  <si>
    <t xml:space="preserve">Projection</t>
  </si>
  <si>
    <t xml:space="preserve">Could reach 4.3m by the end of this Parliament, from 2.8m</t>
  </si>
  <si>
    <t xml:space="preserve">Trend extrapolation</t>
  </si>
  <si>
    <t xml:space="preserve">IPPR Commission on Health and Prosperity (2024)</t>
  </si>
  <si>
    <t xml:space="preserve">F07</t>
  </si>
  <si>
    <t xml:space="preserve">Children in care</t>
  </si>
  <si>
    <t xml:space="preserve">Forecast against outturn</t>
  </si>
  <si>
    <t xml:space="preserve">Forecast almost 100,000 by 2025; actual 81,770 at 31 March 2025 (England)</t>
  </si>
  <si>
    <t xml:space="preserve">Projection (2022) checked against outturn</t>
  </si>
  <si>
    <t xml:space="preserve">2022; 2025</t>
  </si>
  <si>
    <t xml:space="preserve">County Councils Network (2022); YEF (2026), Beyond the Headlines</t>
  </si>
  <si>
    <t xml:space="preserve">https://youthendowmentfund.org.uk/reports/beyond-the-headlines-2026/</t>
  </si>
  <si>
    <t xml:space="preserve">Forecast overshot by about 18,000. Treat trend extrapolations with care.</t>
  </si>
  <si>
    <t xml:space="preserve">F08</t>
  </si>
  <si>
    <t xml:space="preserve">Cost of child poverty</t>
  </si>
  <si>
    <t xml:space="preserve">More than £40bn a year by 2027 in 2023 prices</t>
  </si>
  <si>
    <t xml:space="preserve">CPAG (2023), The cost of child poverty in 2023</t>
  </si>
  <si>
    <t xml:space="preserve">https://cpag.org.uk/news/cost-child-poverty-2023</t>
  </si>
  <si>
    <t xml:space="preserve">F09</t>
  </si>
  <si>
    <t xml:space="preserve">ACE reduction scenario</t>
  </si>
  <si>
    <t xml:space="preserve">Annual saving from a 10% fall in ACE prevalence</t>
  </si>
  <si>
    <t xml:space="preserve">3 million DALYs or US$105bn a year (Europe and North America)</t>
  </si>
  <si>
    <t xml:space="preserve">Europe and North America</t>
  </si>
  <si>
    <t xml:space="preserve">Bellis et al. (2019), Lancet Public Health</t>
  </si>
  <si>
    <t xml:space="preserve">https://www.thelancet.com/journals/lanpub/article/PIIS2468-2667(19)30145-8/fulltext</t>
  </si>
  <si>
    <t xml:space="preserve">Published scenario, not a UK forecast.</t>
  </si>
  <si>
    <t xml:space="preserve">Valuation parameters</t>
  </si>
  <si>
    <t xml:space="preserve">Parameter</t>
  </si>
  <si>
    <t xml:space="preserve">Unit</t>
  </si>
  <si>
    <t xml:space="preserve">Value of a QALY (HM Treasury Green Book)</t>
  </si>
  <si>
    <t xml:space="preserve">£ (2020/21 prices)</t>
  </si>
  <si>
    <t xml:space="preserve">HM Treasury Green Book 2022, Annex 1, A1.64</t>
  </si>
  <si>
    <t xml:space="preserve">Value of a WELLBY (central)</t>
  </si>
  <si>
    <t xml:space="preserve">£ (2019 prices)</t>
  </si>
  <si>
    <t xml:space="preserve">HM Treasury (2021) Wellbeing guidance for appraisal</t>
  </si>
  <si>
    <t xml:space="preserve">NICE threshold, lower (from April 2026)</t>
  </si>
  <si>
    <t xml:space="preserve">NICE (2025) Changes to cost-effectiveness thresholds</t>
  </si>
  <si>
    <t xml:space="preserve">NICE threshold, upper (from April 2026)</t>
  </si>
  <si>
    <t xml:space="preserve">Standard discount rate (years 1–30)</t>
  </si>
  <si>
    <t xml:space="preserve">per year</t>
  </si>
  <si>
    <t xml:space="preserve">HM Treasury (2026) Discounting guidance</t>
  </si>
  <si>
    <t xml:space="preserve">Health discount rate (years 1–30)</t>
  </si>
  <si>
    <t xml:space="preserve">UK DALYs attributable to ACEs</t>
  </si>
  <si>
    <t xml:space="preserve">Hughes et al. (2021) Lancet Public Health</t>
  </si>
  <si>
    <t xml:space="preserve">UK GDP per capita used to value DALYs</t>
  </si>
  <si>
    <t xml:space="preserve">US$ (2019)</t>
  </si>
  <si>
    <t xml:space="preserve">Scenario calculator</t>
  </si>
  <si>
    <t xml:space="preserve">Enter a caseload (unit-cost rows) or a spend in £ (ratio rows) in the yellow column. Returns apply the source's published ratio; horizon, perspective and price year differ by row.</t>
  </si>
  <si>
    <t xml:space="preserve">Basis</t>
  </si>
  <si>
    <t xml:space="preserve">Unit cost (£)</t>
  </si>
  <si>
    <t xml:space="preserve">Ratio low (£ per £1)</t>
  </si>
  <si>
    <t xml:space="preserve">Ratio high (£ per £1)</t>
  </si>
  <si>
    <t xml:space="preserve">Horizon</t>
  </si>
  <si>
    <t xml:space="preserve">Perspective</t>
  </si>
  <si>
    <t xml:space="preserve">Your input (caseload or £)</t>
  </si>
  <si>
    <t xml:space="preserve">Cost (£)</t>
  </si>
  <si>
    <t xml:space="preserve">Return low (£)</t>
  </si>
  <si>
    <t xml:space="preserve">Return high (£)</t>
  </si>
  <si>
    <t xml:space="preserve">Net low (£)</t>
  </si>
  <si>
    <t xml:space="preserve">Net high (£)</t>
  </si>
  <si>
    <t xml:space="preserve">Parenting programmes</t>
  </si>
  <si>
    <t xml:space="preserve">Per unit</t>
  </si>
  <si>
    <t xml:space="preserve">25 years</t>
  </si>
  <si>
    <t xml:space="preserve">Public sector</t>
  </si>
  <si>
    <t xml:space="preserve">Sure Start</t>
  </si>
  <si>
    <t xml:space="preserve">Per £ spent</t>
  </si>
  <si>
    <t xml:space="preserve">Childhood to adulthood</t>
  </si>
  <si>
    <t xml:space="preserve">Total (Exchequer ≈0.89)</t>
  </si>
  <si>
    <t xml:space="preserve">Social and emotional learning</t>
  </si>
  <si>
    <t xml:space="preserve">7 years</t>
  </si>
  <si>
    <t xml:space="preserve">Societal</t>
  </si>
  <si>
    <t xml:space="preserve">KiVa anti-bullying</t>
  </si>
  <si>
    <t xml:space="preserve">4 years (to age 18 with wages)</t>
  </si>
  <si>
    <t xml:space="preserve">10 years</t>
  </si>
  <si>
    <t xml:space="preserve">Liaison and Diversion</t>
  </si>
  <si>
    <t xml:space="preserve">Per referral</t>
  </si>
  <si>
    <t xml:space="preserve">Criminal justice</t>
  </si>
  <si>
    <t xml:space="preserve">1 to 10 years</t>
  </si>
  <si>
    <t xml:space="preserve">Public sector and society</t>
  </si>
  <si>
    <t xml:space="preserve">MARAC</t>
  </si>
  <si>
    <t xml:space="preserve">1 year</t>
  </si>
  <si>
    <t xml:space="preserve">Per year</t>
  </si>
  <si>
    <t xml:space="preserve">Public services and wellbeing</t>
  </si>
  <si>
    <t xml:space="preserve">Pause</t>
  </si>
  <si>
    <t xml:space="preserve">4 to 18 years</t>
  </si>
  <si>
    <t xml:space="preserve">Local authority</t>
  </si>
  <si>
    <t xml:space="preserve">Public health (review)</t>
  </si>
  <si>
    <t xml:space="preserve">Public sector and economy</t>
  </si>
  <si>
    <t xml:space="preserve">Valuing health gains</t>
  </si>
  <si>
    <t xml:space="preserve">QALYs gained</t>
  </si>
  <si>
    <t xml:space="preserve">Social value at Green Book rate</t>
  </si>
  <si>
    <t xml:space="preserve">Maximum NICE would normally accept (lower)</t>
  </si>
  <si>
    <t xml:space="preserve">Maximum NICE would normally accept (upper)</t>
  </si>
  <si>
    <t xml:space="preserve">ACE scenario (illustrative)</t>
  </si>
  <si>
    <t xml:space="preserve">Fall in ACE-attributable DALYs</t>
  </si>
  <si>
    <t xml:space="preserve">DALYs averted per year</t>
  </si>
  <si>
    <t xml:space="preserve">Value at UK GDP per capita (US$)</t>
  </si>
  <si>
    <t xml:space="preserve">Value at £70,000 per DALY (DALY treated as one QALY)</t>
  </si>
  <si>
    <t xml:space="preserve">Note: assumes burden falls in proportion to ACE prevalence, as Bellis et al. (2019) did for Europe and North America. DALYs and QALYs are different measures; the £70,000 conversion is a simplifying assumption.</t>
  </si>
  <si>
    <t>Tax revenue only: £4.5bn from the 900,000 rise in sickness inactivity since 2020 (IPPR, using the OBR's £5,000 per person), plus the OBR's £3.0bn for in-work ill-health and £3.7bn for indirect effects on other taxes (p.28, note 9). Excludes the rise in benefit spending, which the OBR put at £6.8bn in 2023-24.</t>
  </si>
  <si>
    <t>2015/16</t>
  </si>
  <si>
    <t>£3,000 a year is the lower end of the annualised savings (£3,000 to £4,000 a year) from three studies: £5,125 over 18 months, £20,000 over five years and £32,400 over ten years (p.35). Figures are in "today's prices", which the report does not define.</t>
  </si>
  <si>
    <t>I36</t>
  </si>
  <si>
    <t>Kurve kriegen (police-led early intervention, North Rhine-Westphalia)</t>
  </si>
  <si>
    <t>Net benefit per €1 (modelled)</t>
  </si>
  <si>
    <t>€3.23 net benefit per €1 (cautious scenario); €10.55 (optimistic scenario); about €13,354 per participant per year</t>
  </si>
  <si>
    <t>NRW state (police)</t>
  </si>
  <si>
    <t>Victims, justice system, youth welfare</t>
  </si>
  <si>
    <t>Commissioned cost-benefit model using before-and-after data</t>
  </si>
  <si>
    <t>Germany (North Rhine-Westphalia)</t>
  </si>
  <si>
    <t>Prognos (2016), Cost-benefit analysis of the NRW crime-prevention initiative Kurve kriegen (management summary, in German)</t>
  </si>
  <si>
    <t>https://www.kurvekriegen.nrw.de/sites/default/files/2021-11/2016_03_Prognos_KNA_Managementsummary.pdf</t>
  </si>
  <si>
    <t>Prognos credits the programme with preventing 14 of 231 criminal careers (6%) in the cautious scenario and 40 (17%) in the optimistic one, valuing each at €1.66m to age 25 from a prototype offender it calls a realistic worst case; there is no comparison group (PDF pp.9, 10, 14–15). The gross return is €4.23 per €1. The University of Kiel's quasi-experimental impact evaluation (2015) found that participants' recorded offending stayed level while the comparison group's fell (p.204).</t>
  </si>
  <si>
    <t>No economic evaluation with a comparison group of police-identified early intervention for children on the Kurve kriegen model; the German return is modelled from before-and-after data.</t>
  </si>
  <si>
    <t>Used to value health in social cost-benefit analysis. Differs from NICE's threshold, which is an opportunity cost. The 2026 Green Book no longer states a QALY value; it refers to supplementary guidance on health. The 2026 edition (para 8.57, p.62) links to a 2013 GOV.UK page holding the Department of Health guide Policy appraisal and health, which gives no current QALY value, so £70,000 in 2020/21 prices remains the latest published value.</t>
  </si>
  <si>
    <t>I37</t>
  </si>
  <si>
    <t>Nuffield Early Language Intervention (NELI), Reception</t>
  </si>
  <si>
    <t>Effect on teacher-rated behaviour; cost per pupil</t>
  </si>
  <si>
    <t>Behavioural adjustment d = 0.23 (teacher-rated); language skills 0.26 (0.17, 0.35); £58 per pupil per year over 3 years</t>
  </si>
  <si>
    <t>Cluster RCT (193 schools, 1,173 children)</t>
  </si>
  <si>
    <t>West et al. (2022), Journal of School Psychology; Dimova et al. (2020), EEF evaluation report</t>
  </si>
  <si>
    <t>https://doi.org/10.1016/j.jsp.2022.04.006</t>
  </si>
  <si>
    <t>Class teachers rated behaviour before and immediately after the 20-week programme (West et al. 2022, pp.334, 340); the gain was not mediated by gains in language (pp.341–342). The £58 covers materials and training for a one-form-entry school (£43 for two-form entry) and excludes about 120 hours of teaching assistant time (Dimova et al. 2020, pp.61–62, 65). No economic evaluation found. The trial did not measure exclusions or harm to staff. Three authors of West et al. are directors of OxEd and Assessment, which sells the LanguageScreen tool used to select children (p.343).</t>
  </si>
  <si>
    <t>I38</t>
  </si>
  <si>
    <t>Talk of the Town (whole-school speech, language and communication support)</t>
  </si>
  <si>
    <t>Effect on reading comprehension and oral language</t>
  </si>
  <si>
    <t>Reading comprehension −0.03 (−0.46, 0.40), n=2,696; oral language 0.11 (−1.19, 1.41), n=292; £50.97 per pupil per year</t>
  </si>
  <si>
    <t>Cluster RCT (64 primary schools)</t>
  </si>
  <si>
    <t>England (three local authorities)</t>
  </si>
  <si>
    <t>Thurston, Roseth and O'Hare (2016), EEF evaluation report</t>
  </si>
  <si>
    <t>https://files.eric.ed.gov/fulltext/ED581531.pdf</t>
  </si>
  <si>
    <t>Pupils in Years 2 and 5; a whole-school model delivered by The Communication Trust that includes a speech and language therapist working in school. Outcomes were reading comprehension and oral language; the cost is £13,244.46 per school per year spread across all pupils (executive summary).</t>
  </si>
  <si>
    <t>The youth justice study of speech and language therapy reviewed for the ledger (Gregory and Bryan, 2011) measures language, not offending or costs.</t>
  </si>
</sst>
</file>

<file path=xl/styles.xml><?xml version="1.0" encoding="utf-8"?>
<styleSheet xmlns="http://schemas.openxmlformats.org/spreadsheetml/2006/main">
  <numFmts count="8">
    <numFmt numFmtId="164" formatCode="General"/>
    <numFmt numFmtId="165" formatCode="#,##0"/>
    <numFmt numFmtId="166" formatCode="0.0%"/>
    <numFmt numFmtId="167" formatCode="\£#,##0"/>
    <numFmt numFmtId="168" formatCode="0.00"/>
    <numFmt numFmtId="169" formatCode="\£#,##0;&quot;(£&quot;#,##0\);\-"/>
    <numFmt numFmtId="170" formatCode="0%"/>
    <numFmt numFmtId="171" formatCode="&quot;US$&quot;#,##0"/>
  </numFmts>
  <fonts count="12">
    <font>
      <sz val="11"/>
      <color theme="1"/>
      <name val="Calibri"/>
      <family val="2"/>
      <charset val="1"/>
    </font>
    <font>
      <sz val="10"/>
      <name val="Arial"/>
      <family val="0"/>
    </font>
    <font>
      <sz val="10"/>
      <name val="Arial"/>
      <family val="0"/>
    </font>
    <font>
      <sz val="10"/>
      <name val="Arial"/>
      <family val="0"/>
    </font>
    <font>
      <b val="true"/>
      <sz val="16"/>
      <color rgb="FF1D2B4F"/>
      <name val="Arial"/>
      <family val="0"/>
      <charset val="1"/>
    </font>
    <font>
      <sz val="10"/>
      <name val="Arial"/>
      <family val="0"/>
      <charset val="1"/>
    </font>
    <font>
      <b val="true"/>
      <sz val="11"/>
      <color rgb="FF1D2B4F"/>
      <name val="Arial"/>
      <family val="0"/>
      <charset val="1"/>
    </font>
    <font>
      <b val="true"/>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u val="single"/>
      <sz val="10"/>
      <color rgb="FF1F4E99"/>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D2B4F"/>
        <bgColor rgb="FF003366"/>
      </patternFill>
    </fill>
  </fills>
  <borders count="2">
    <border diagonalUp="false" diagonalDown="false">
      <left/>
      <right/>
      <top/>
      <bottom/>
      <diagonal/>
    </border>
    <border diagonalUp="false" diagonalDown="false">
      <left/>
      <right/>
      <top/>
      <bottom style="thin">
        <color rgb="FFD8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D2B4F"/>
          <bgColor rgb="FF000000"/>
        </patternFill>
      </fill>
    </dxf>
    <dxf>
      <fill>
        <patternFill patternType="solid">
          <bgColor rgb="FF000000"/>
        </patternFill>
      </fill>
    </dxf>
    <dxf>
      <fill>
        <patternFill patternType="solid">
          <fgColor rgb="FFFFFFFF"/>
          <bgColor rgb="FF000000"/>
        </patternFill>
      </fill>
    </dxf>
    <dxf>
      <fill>
        <patternFill patternType="solid">
          <fgColor rgb="FF1F4E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8DC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99"/>
      <rgbColor rgb="FF1D2B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foundations.org.uk/our-work/publications/the-cost-of-late-intervention-eif-analysis-2016/" TargetMode="External"/><Relationship Id="rId2" Type="http://schemas.openxmlformats.org/officeDocument/2006/relationships/hyperlink" Target="https://learning.nspcc.org.uk/research-resources/childrens-services-spending-reports" TargetMode="External"/><Relationship Id="rId3" Type="http://schemas.openxmlformats.org/officeDocument/2006/relationships/hyperlink" Target="https://www.centreformentalhealth.org.uk/wp-content/uploads/2018/09/costsofperinatalsummary.pdf" TargetMode="External"/><Relationship Id="rId4" Type="http://schemas.openxmlformats.org/officeDocument/2006/relationships/hyperlink" Target="https://doi.org/10.1111/add.14183" TargetMode="External"/><Relationship Id="rId5" Type="http://schemas.openxmlformats.org/officeDocument/2006/relationships/hyperlink" Target="https://doi.org/10.1111/acer.14705" TargetMode="External"/><Relationship Id="rId6" Type="http://schemas.openxmlformats.org/officeDocument/2006/relationships/hyperlink" Target="http://wrap.warwick.ac.uk/37026/" TargetMode="External"/><Relationship Id="rId7" Type="http://schemas.openxmlformats.org/officeDocument/2006/relationships/hyperlink" Target="https://pubmed.ncbi.nlm.nih.gov/40168916/" TargetMode="External"/><Relationship Id="rId8" Type="http://schemas.openxmlformats.org/officeDocument/2006/relationships/hyperlink" Target="https://doi.org/10.1016/S2468-2667(21)00232-2" TargetMode="External"/><Relationship Id="rId9" Type="http://schemas.openxmlformats.org/officeDocument/2006/relationships/hyperlink" Target="https://doi.org/10.1111/jcpp.12573" TargetMode="External"/><Relationship Id="rId10" Type="http://schemas.openxmlformats.org/officeDocument/2006/relationships/hyperlink" Target="https://pubmed.ncbi.nlm.nih.gov/11473907/" TargetMode="External"/><Relationship Id="rId11" Type="http://schemas.openxmlformats.org/officeDocument/2006/relationships/hyperlink" Target="https://doi.org/10.1016/j.socscimed.2018.05.014" TargetMode="External"/><Relationship Id="rId12" Type="http://schemas.openxmlformats.org/officeDocument/2006/relationships/hyperlink" Target="https://www.ippr.org/media-office/revealed-school-exclusions-and-suspensions-rise-by-a-fifth-last-year-finds-new-report" TargetMode="External"/><Relationship Id="rId13" Type="http://schemas.openxmlformats.org/officeDocument/2006/relationships/hyperlink" Target="https://www.england.nhs.uk/long-read/report-of-the-independent-adhd-taskforce-part-1/" TargetMode="External"/><Relationship Id="rId14" Type="http://schemas.openxmlformats.org/officeDocument/2006/relationships/hyperlink" Target="https://doi.org/10.1001/jamapediatrics.2014.210" TargetMode="External"/><Relationship Id="rId15" Type="http://schemas.openxmlformats.org/officeDocument/2006/relationships/hyperlink" Target="https://www.centreformentalhealth.org.uk/publications/traumatic-brain-injury-and-offending/" TargetMode="External"/><Relationship Id="rId16" Type="http://schemas.openxmlformats.org/officeDocument/2006/relationships/hyperlink" Target="https://doi.org/10.1097/HTR.0000000000000129" TargetMode="External"/><Relationship Id="rId17" Type="http://schemas.openxmlformats.org/officeDocument/2006/relationships/hyperlink" Target="https://doi.org/10.3109/02699052.2010.495697" TargetMode="External"/><Relationship Id="rId18" Type="http://schemas.openxmlformats.org/officeDocument/2006/relationships/hyperlink" Target="https://ukabif.org.uk/news/701354/Hidden-toll-of-brain-injury-costs-economy-43-billion-a-year-.htm" TargetMode="External"/><Relationship Id="rId19" Type="http://schemas.openxmlformats.org/officeDocument/2006/relationships/hyperlink" Target="https://www.nao.org.uk/wp-content/uploads/2025/09/Managing-childrens-residential-care.pdf" TargetMode="External"/><Relationship Id="rId20" Type="http://schemas.openxmlformats.org/officeDocument/2006/relationships/hyperlink" Target="https://www.gov.uk/government/publications/young-people-and-work-interim-report/young-people-and-work-interim-report" TargetMode="External"/><Relationship Id="rId21" Type="http://schemas.openxmlformats.org/officeDocument/2006/relationships/hyperlink" Target="https://www.centreformentalhealth.org.uk/publications/the-economic-and-social-costs-of-mental-ill-health/" TargetMode="External"/><Relationship Id="rId22" Type="http://schemas.openxmlformats.org/officeDocument/2006/relationships/hyperlink" Target="https://www.ias.org.uk/factsheet/economy/" TargetMode="External"/><Relationship Id="rId23" Type="http://schemas.openxmlformats.org/officeDocument/2006/relationships/hyperlink" Target="https://assets.publishing.service.gov.uk/media/60eef5588fa8f50c768386fd/independent-review-of-drugs-part-2-annexes.pdf" TargetMode="External"/><Relationship Id="rId24" Type="http://schemas.openxmlformats.org/officeDocument/2006/relationships/hyperlink" Target="https://ash.org.uk/key-topics/the-economic-impact-of-smoking" TargetMode="External"/><Relationship Id="rId25" Type="http://schemas.openxmlformats.org/officeDocument/2006/relationships/hyperlink" Target="https://www.frontier-economics.com/uk/en/news-and-insights/news/news-article-i20358-the-rising-cost-of-obesity-in-the-uk/" TargetMode="External"/><Relationship Id="rId26" Type="http://schemas.openxmlformats.org/officeDocument/2006/relationships/hyperlink" Target="https://cpag.org.uk/news/official-child-poverty-statistics-350000-more-children-poverty-and-numbers-will-rise" TargetMode="External"/><Relationship Id="rId27" Type="http://schemas.openxmlformats.org/officeDocument/2006/relationships/hyperlink" Target="https://commonslibrary.parliament.uk/research-briefings/cbp-10421/" TargetMode="External"/><Relationship Id="rId28" Type="http://schemas.openxmlformats.org/officeDocument/2006/relationships/hyperlink" Target="https://osr.statisticsauthority.gov.uk/correspondence/reporting-the-costs-of-domestic-abuse" TargetMode="External"/><Relationship Id="rId29" Type="http://schemas.openxmlformats.org/officeDocument/2006/relationships/hyperlink" Target="https://www.gov.uk/government/publications/economic-and-social-costs-of-crime-2019-to-2020/economic-and-social-costs-of-crime-2019-to-2020" TargetMode="External"/><Relationship Id="rId30" Type="http://schemas.openxmlformats.org/officeDocument/2006/relationships/hyperlink" Target="https://assets.publishing.service.gov.uk/media/5d1de7a4e5274a08d13a684e/economic-social-costs-reoffending.pdf" TargetMode="External"/><Relationship Id="rId31" Type="http://schemas.openxmlformats.org/officeDocument/2006/relationships/hyperlink" Target="https://assets.publishing.service.gov.uk/media/69bbeea2f7b1c24d8e23ce44/costs-per-place-costs-per-prisoner-2024-2025-summary.pdf" TargetMode="External"/><Relationship Id="rId32" Type="http://schemas.openxmlformats.org/officeDocument/2006/relationships/hyperlink" Target="https://www.gov.uk/government/publications/updated-estimates-of-children-with-a-parent-in-prison/transparency-data-updated-estimates-of-children-with-a-parent-in-prison" TargetMode="External"/><Relationship Id="rId33" Type="http://schemas.openxmlformats.org/officeDocument/2006/relationships/hyperlink" Target="https://www.nuffieldfjo.org.uk/resource/mothers-in-recurrent-care-proceedings-new-evidence-for-england-and-wales" TargetMode="External"/><Relationship Id="rId34" Type="http://schemas.openxmlformats.org/officeDocument/2006/relationships/hyperlink" Target="https://cls.ucl.ac.uk/wp-content/uploads/2017/02/Children-of-care-leavers-policy-briefing.pdf" TargetMode="External"/><Relationship Id="rId35" Type="http://schemas.openxmlformats.org/officeDocument/2006/relationships/hyperlink" Target="https://ippr-org.files.svdcdn.com/production/Downloads/Our_greatest_asset_Sept24.pdf" TargetMode="External"/><Relationship Id="rId36" Type="http://schemas.openxmlformats.org/officeDocument/2006/relationships/hyperlink" Target="https://wrap.warwick.ac.uk/id/eprint/154072/" TargetMode="External"/><Relationship Id="rId37" Type="http://schemas.openxmlformats.org/officeDocument/2006/relationships/hyperlink" Target="https://doi.org/10.1017/S0033291718001940" TargetMode="External"/><Relationship Id="rId38" Type="http://schemas.openxmlformats.org/officeDocument/2006/relationships/hyperlink" Target="https://doi.org/10.1016/S2215-0366(25)00039-2" TargetMode="External"/><Relationship Id="rId39" Type="http://schemas.openxmlformats.org/officeDocument/2006/relationships/hyperlink" Target="https://doi.org/10.1111/add.13160" TargetMode="External"/><Relationship Id="rId40" Type="http://schemas.openxmlformats.org/officeDocument/2006/relationships/hyperlink" Target="https://doi.org/10.1111/add.16176" TargetMode="External"/><Relationship Id="rId41" Type="http://schemas.openxmlformats.org/officeDocument/2006/relationships/hyperlink" Target="https://doi.org/10.1111/jep.12799" TargetMode="External"/><Relationship Id="rId42" Type="http://schemas.openxmlformats.org/officeDocument/2006/relationships/hyperlink" Target="https://doi.org/10.1136/bmj.39126.699421.55" TargetMode="External"/><Relationship Id="rId43" Type="http://schemas.openxmlformats.org/officeDocument/2006/relationships/hyperlink" Target="https://link.springer.com/article/10.1186/1471-2458-11-803" TargetMode="External"/><Relationship Id="rId44" Type="http://schemas.openxmlformats.org/officeDocument/2006/relationships/hyperlink" Target="https://ifs.org.uk/news/sure-starts-wide-ranging-and-long-lasting-benefits-highlight-impact-integrated-early-years" TargetMode="External"/><Relationship Id="rId45" Type="http://schemas.openxmlformats.org/officeDocument/2006/relationships/hyperlink" Target="https://link.springer.com/article/10.1186/s12888-015-0700-x" TargetMode="External"/><Relationship Id="rId46" Type="http://schemas.openxmlformats.org/officeDocument/2006/relationships/hyperlink" Target="https://www.lse.ac.uk/business/consulting/assets/documents/commissioning-cost-effective-services-for-promotion-of-mental-health-and-wellbeing-and-prevention-of-mental-ill-health.pdf" TargetMode="External"/><Relationship Id="rId47" Type="http://schemas.openxmlformats.org/officeDocument/2006/relationships/hyperlink" Target="https://www.lse.ac.uk/business/consulting/assets/documents/commissioning-cost-effective-services-for-promotion-of-mental-health-and-wellbeing-and-prevention-of-mental-ill-health.pdf" TargetMode="External"/><Relationship Id="rId48" Type="http://schemas.openxmlformats.org/officeDocument/2006/relationships/hyperlink" Target="https://youthendowmentfund.org.uk/toolkit/social-skills-training/" TargetMode="External"/><Relationship Id="rId49" Type="http://schemas.openxmlformats.org/officeDocument/2006/relationships/hyperlink" Target="https://youthendowmentfund.org.uk/toolkit/cognitive-behavioural-therapy/" TargetMode="External"/><Relationship Id="rId50" Type="http://schemas.openxmlformats.org/officeDocument/2006/relationships/hyperlink" Target="https://youthendowmentfund.org.uk/toolkit/mentoring/" TargetMode="External"/><Relationship Id="rId51" Type="http://schemas.openxmlformats.org/officeDocument/2006/relationships/hyperlink" Target="https://youthendowmentfund.org.uk/toolkit/focused-deterrence/" TargetMode="External"/><Relationship Id="rId52" Type="http://schemas.openxmlformats.org/officeDocument/2006/relationships/hyperlink" Target="https://youthendowmentfund.org.uk/toolkit/trauma-specific-therapies/" TargetMode="External"/><Relationship Id="rId53" Type="http://schemas.openxmlformats.org/officeDocument/2006/relationships/hyperlink" Target="https://youthendowmentfund.org.uk/toolkit/formal-pre-court-diversion/" TargetMode="External"/><Relationship Id="rId54" Type="http://schemas.openxmlformats.org/officeDocument/2006/relationships/hyperlink" Target="https://pmc.ncbi.nlm.nih.gov/articles/PMC6697182/" TargetMode="External"/><Relationship Id="rId55" Type="http://schemas.openxmlformats.org/officeDocument/2006/relationships/hyperlink" Target="https://doi.org/10.1111/jcpp.12743" TargetMode="External"/><Relationship Id="rId56" Type="http://schemas.openxmlformats.org/officeDocument/2006/relationships/hyperlink" Target="https://www.gov.uk/government/publications/violence-reduction-units-year-ending-march-2023-evaluation-report/violence-reduction-units-2022-to-2023" TargetMode="External"/><Relationship Id="rId57" Type="http://schemas.openxmlformats.org/officeDocument/2006/relationships/hyperlink" Target="https://doi.org/10.1056/NEJMoa1203241" TargetMode="External"/><Relationship Id="rId58" Type="http://schemas.openxmlformats.org/officeDocument/2006/relationships/hyperlink" Target="https://committees.parliament.uk/writtenevidence/72380/html/" TargetMode="External"/><Relationship Id="rId59" Type="http://schemas.openxmlformats.org/officeDocument/2006/relationships/hyperlink" Target="https://www.ukyouth.org/wp-content/uploads/2022/11/Economic-Value-of-Youth-Work-Full-Report.pdf" TargetMode="External"/><Relationship Id="rId60" Type="http://schemas.openxmlformats.org/officeDocument/2006/relationships/hyperlink" Target="https://eprints.lse.ac.uk/56773/" TargetMode="External"/><Relationship Id="rId61" Type="http://schemas.openxmlformats.org/officeDocument/2006/relationships/hyperlink" Target="https://doi.org/10.1192/bjp.bp.111.107888" TargetMode="External"/><Relationship Id="rId62" Type="http://schemas.openxmlformats.org/officeDocument/2006/relationships/hyperlink" Target="https://www.rand.org/pubs/research_briefs/RBA1271-1.html" TargetMode="External"/><Relationship Id="rId63" Type="http://schemas.openxmlformats.org/officeDocument/2006/relationships/hyperlink" Target="https://www.gov.uk/government/publications/alcohol-and-drug-prevention-treatment-and-recovery-why-invest/alcohol-and-drug-prevention-treatment-and-recovery-why-invest" TargetMode="External"/><Relationship Id="rId64" Type="http://schemas.openxmlformats.org/officeDocument/2006/relationships/hyperlink" Target="http://safelives.org.uk/research-policy-library/saving-lives-saving-money-report/" TargetMode="External"/><Relationship Id="rId65" Type="http://schemas.openxmlformats.org/officeDocument/2006/relationships/hyperlink" Target="https://safelives.org.uk/about-domestic-abuse/responding-to-perpetrators/" TargetMode="External"/><Relationship Id="rId66" Type="http://schemas.openxmlformats.org/officeDocument/2006/relationships/hyperlink" Target="https://assets.publishing.service.gov.uk/media/671a6fea603993b7a8f75db5/Housing_First_Cost_Benefit_Analysis_Report.pdf" TargetMode="External"/><Relationship Id="rId67" Type="http://schemas.openxmlformats.org/officeDocument/2006/relationships/hyperlink" Target="https://www.centreformentalhealth.org.uk/wp-content/uploads/2018/09/priorities.pdf" TargetMode="External"/><Relationship Id="rId68" Type="http://schemas.openxmlformats.org/officeDocument/2006/relationships/hyperlink" Target="https://assets.publishing.service.gov.uk/media/5fa2d5e2d3bf7f03b3ee4925/Pause_-_Sussex.pdf" TargetMode="External"/><Relationship Id="rId69" Type="http://schemas.openxmlformats.org/officeDocument/2006/relationships/hyperlink" Target="https://pmc.ncbi.nlm.nih.gov/articles/PMC10154457/" TargetMode="External"/><Relationship Id="rId70" Type="http://schemas.openxmlformats.org/officeDocument/2006/relationships/hyperlink" Target="https://pubmed.ncbi.nlm.nih.gov/28356325/" TargetMode="External"/><Relationship Id="rId71" Type="http://schemas.openxmlformats.org/officeDocument/2006/relationships/hyperlink" Target="https://www.health.org.uk/reports-and-analysis/analysis/investing-in-the-public-health-grant" TargetMode="External"/><Relationship Id="rId72" Type="http://schemas.openxmlformats.org/officeDocument/2006/relationships/hyperlink" Target="https://www.ohe.org/wp-content/uploads/2020/08/The_Green_Book.pdf" TargetMode="External"/><Relationship Id="rId73" Type="http://schemas.openxmlformats.org/officeDocument/2006/relationships/hyperlink" Target="https://assets.publishing.service.gov.uk/media/60fa9169d3bf7f0448719daf/Wellbeing_guidance_for_appraisal_-_supplementary_Green_Book_guidance.pdf" TargetMode="External"/><Relationship Id="rId74" Type="http://schemas.openxmlformats.org/officeDocument/2006/relationships/hyperlink" Target="https://www.nice.org.uk/news/articles/changes-to-nice-s-cost-effectiveness-thresholds-confirmed" TargetMode="External"/><Relationship Id="rId75" Type="http://schemas.openxmlformats.org/officeDocument/2006/relationships/hyperlink" Target="https://assets.publishing.service.gov.uk/media/698488ab2df808759a7bd70f/Green_Book_supplementary_guidance_-_discounting.pdf" TargetMode="External"/><Relationship Id="rId76" Type="http://schemas.openxmlformats.org/officeDocument/2006/relationships/hyperlink" Target="https://assets.publishing.service.gov.uk/media/6a43915e7ac6fd9c6a94abbe/Findings_and_Recommendations_-_Green_Book_Discount_Rate_Review.pdf" TargetMode="External"/><Relationship Id="rId77" Type="http://schemas.openxmlformats.org/officeDocument/2006/relationships/hyperlink" Target="https://pmc.ncbi.nlm.nih.gov/articles/PMC13223565" TargetMode="External"/><Relationship Id="rId78" Type="http://schemas.openxmlformats.org/officeDocument/2006/relationships/hyperlink" Target="https://assets.publishing.service.gov.uk/government/uploads/system/uploads/attachment_data/file/753688/Prevention_is_better_than_cure_5-11.pdf" TargetMode="External"/><Relationship Id="rId79" Type="http://schemas.openxmlformats.org/officeDocument/2006/relationships/hyperlink" Target="https://www.health.org.uk/reports-and-analysis/reports/health-in-2040-projected-patterns-of-illness-in-england" TargetMode="External"/><Relationship Id="rId80" Type="http://schemas.openxmlformats.org/officeDocument/2006/relationships/hyperlink" Target="https://www.health.org.uk/media-office/press-releases/700000-more-workers-are-projected-to-be-living-with-major-illness-by-2040" TargetMode="External"/><Relationship Id="rId81" Type="http://schemas.openxmlformats.org/officeDocument/2006/relationships/hyperlink" Target="https://assets.publishing.service.gov.uk/media/6a4cb4c74889d85e75ab40e0/E03599617_OBR_FRS_2026_Accessible.pdf" TargetMode="External"/><Relationship Id="rId82" Type="http://schemas.openxmlformats.org/officeDocument/2006/relationships/hyperlink" Target="https://obr.uk/frs/fiscal-risks-and-sustainability-july-2025/" TargetMode="External"/><Relationship Id="rId83" Type="http://schemas.openxmlformats.org/officeDocument/2006/relationships/hyperlink" Target="https://ifs.org.uk/publications/schools-and-colleges-2025-spending-review" TargetMode="External"/><Relationship Id="rId84" Type="http://schemas.openxmlformats.org/officeDocument/2006/relationships/hyperlink" Target="https://ippr-org.files.svdcdn.com/production/Downloads/Our_greatest_asset_Sept24.pdf" TargetMode="External"/><Relationship Id="rId85" Type="http://schemas.openxmlformats.org/officeDocument/2006/relationships/hyperlink" Target="https://youthendowmentfund.org.uk/reports/beyond-the-headlines-2026/" TargetMode="External"/><Relationship Id="rId86" Type="http://schemas.openxmlformats.org/officeDocument/2006/relationships/hyperlink" Target="https://cpag.org.uk/news/cost-child-poverty-2023" TargetMode="External"/><Relationship Id="rId87" Type="http://schemas.openxmlformats.org/officeDocument/2006/relationships/hyperlink" Target="https://www.thelancet.com/journals/lanpub/article/PIIS2468-2667(19)30145-8/fulltext" TargetMode="External"/><Relationship Id="rId88" Type="http://schemas.openxmlformats.org/officeDocument/2006/relationships/drawing" Target="../drawings/drawing1.xml"/>
<Relationship Id="rId89" Type="http://schemas.openxmlformats.org/officeDocument/2006/relationships/hyperlink" Target="https://www.kurvekriegen.nrw.de/sites/default/files/2021-11/2016_03_Prognos_KNA_Managementsummary.pdf" TargetMode="External"/><Relationship Id="rId90" Type="http://schemas.openxmlformats.org/officeDocument/2006/relationships/hyperlink" Target="https://doi.org/10.1016/j.jsp.2022.04.006" TargetMode="External"/><Relationship Id="rId91" Type="http://schemas.openxmlformats.org/officeDocument/2006/relationships/hyperlink" Target="https://files.eric.ed.gov/fulltext/ED581531.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3.85" hidden="false" customHeight="false" outlineLevel="0" collapsed="false">
      <c r="A5" s="4" t="s">
        <v>3</v>
      </c>
      <c r="B5" s="5" t="s">
        <v>4</v>
      </c>
    </row>
    <row r="6" customFormat="false" ht="23.85" hidden="false" customHeight="false" outlineLevel="0" collapsed="false">
      <c r="A6" s="4" t="s">
        <v>5</v>
      </c>
      <c r="B6" s="5" t="s">
        <v>6</v>
      </c>
    </row>
    <row r="7" customFormat="false" ht="23.85" hidden="false" customHeight="false" outlineLevel="0" collapsed="false">
      <c r="A7" s="4" t="s">
        <v>7</v>
      </c>
      <c r="B7" s="5" t="s">
        <v>8</v>
      </c>
    </row>
    <row r="9" customFormat="false" ht="15" hidden="false" customHeight="false" outlineLevel="0" collapsed="false">
      <c r="A9" s="3" t="s">
        <v>9</v>
      </c>
    </row>
    <row r="10" customFormat="false" ht="15" hidden="false" customHeight="false" outlineLevel="0" collapsed="false">
      <c r="A10" s="4" t="s">
        <v>10</v>
      </c>
      <c r="B10" s="5" t="s">
        <v>11</v>
      </c>
    </row>
    <row r="11" customFormat="false" ht="15" hidden="false" customHeight="false" outlineLevel="0" collapsed="false">
      <c r="A11" s="4" t="s">
        <v>12</v>
      </c>
      <c r="B11" s="5" t="s">
        <v>13</v>
      </c>
    </row>
    <row r="12" customFormat="false" ht="15" hidden="false" customHeight="false" outlineLevel="0" collapsed="false">
      <c r="A12" s="4" t="s">
        <v>14</v>
      </c>
      <c r="B12" s="5" t="s">
        <v>15</v>
      </c>
    </row>
    <row r="13" customFormat="false" ht="15" hidden="false" customHeight="false" outlineLevel="0" collapsed="false">
      <c r="A13" s="4" t="s">
        <v>16</v>
      </c>
      <c r="B13" s="5" t="s">
        <v>17</v>
      </c>
    </row>
    <row r="15" customFormat="false" ht="15" hidden="false" customHeight="false" outlineLevel="0" collapsed="false">
      <c r="A15" s="3" t="s">
        <v>18</v>
      </c>
    </row>
    <row r="16" customFormat="false" ht="15" hidden="false" customHeight="false" outlineLevel="0" collapsed="false">
      <c r="A16" s="4" t="s">
        <v>19</v>
      </c>
      <c r="B16" s="6" t="s">
        <v>20</v>
      </c>
    </row>
    <row r="17" customFormat="false" ht="15" hidden="false" customHeight="false" outlineLevel="0" collapsed="false">
      <c r="A17" s="4" t="s">
        <v>21</v>
      </c>
      <c r="B17" s="7" t="s">
        <v>22</v>
      </c>
    </row>
    <row r="18" customFormat="false" ht="15" hidden="false" customHeight="false" outlineLevel="0" collapsed="false">
      <c r="A18" s="4" t="s">
        <v>23</v>
      </c>
      <c r="B18" s="5" t="s">
        <v>24</v>
      </c>
    </row>
    <row r="19" customFormat="false" ht="15" hidden="false" customHeight="false" outlineLevel="0" collapsed="false">
      <c r="A19" s="4" t="s">
        <v>25</v>
      </c>
      <c r="B19" s="8" t="s">
        <v>26</v>
      </c>
    </row>
    <row r="21" customFormat="false" ht="15" hidden="false" customHeight="false" outlineLevel="0" collapsed="false">
      <c r="A21" s="3" t="s">
        <v>27</v>
      </c>
    </row>
    <row r="22" customFormat="false" ht="15" hidden="false" customHeight="false" outlineLevel="0" collapsed="false">
      <c r="A22" s="4"/>
      <c r="B22" s="5" t="s">
        <v>28</v>
      </c>
    </row>
    <row r="23" customFormat="false" ht="15" hidden="false" customHeight="false" outlineLevel="0" collapsed="false">
      <c r="A23" s="4"/>
      <c r="B23" s="5" t="s">
        <v>29</v>
      </c>
    </row>
    <row r="24" customFormat="false" ht="15" hidden="false" customHeight="false" outlineLevel="0" collapsed="false">
      <c r="A24" s="4"/>
      <c r="B24" s="5" t="s">
        <v>30</v>
      </c>
    </row>
    <row r="25" customFormat="false" ht="15" hidden="false" customHeight="false" outlineLevel="0" collapsed="false">
      <c r="A25" s="4"/>
      <c r="B25" s="5" t="s">
        <v>31</v>
      </c>
    </row>
    <row r="27" customFormat="false" ht="15" hidden="false" customHeight="false" outlineLevel="0" collapsed="false">
      <c r="A27" s="3" t="s">
        <v>32</v>
      </c>
    </row>
    <row r="28" customFormat="false" ht="15" hidden="false" customHeight="false" outlineLevel="0" collapsed="false">
      <c r="A28" s="4"/>
      <c r="B28" s="5" t="s">
        <v>33</v>
      </c>
    </row>
    <row r="29" customFormat="false" ht="15" hidden="false" customHeight="false" outlineLevel="0" collapsed="false">
      <c r="A29" s="4"/>
      <c r="B29" s="5" t="s">
        <v>34</v>
      </c>
    </row>
    <row r="30" customFormat="false" ht="15" hidden="false" customHeight="false" outlineLevel="0" collapsed="false">
      <c r="A30" s="4"/>
      <c r="B30" s="5" t="s">
        <v>35</v>
      </c>
    </row>
    <row r="31" customFormat="false" ht="15" hidden="false" customHeight="false" outlineLevel="0" collapsed="false">
      <c r="A31" s="4"/>
      <c r="B31" s="5" t="s">
        <v>36</v>
      </c>
    </row>
    <row r="32" customFormat="false" ht="15" hidden="false" customHeight="false" outlineLevel="0" collapsed="false">
      <c r="A32" s="4"/>
      <c r="B32" s="5" t="s">
        <v>37</v>
      </c>
    </row>
    <row r="33" customFormat="false" ht="15" hidden="false" customHeight="false" outlineLevel="0" collapsed="false">
      <c r="A33" s="4"/>
      <c r="B33" s="5" t="s">
        <v>38</v>
      </c>
    </row>
    <row r="34" customFormat="false" ht="15" hidden="false" customHeight="false" outlineLevel="0" collapsed="false">
      <c r="A34" s="4"/>
      <c r="B34" s="5" t="s">
        <v>39</v>
      </c>
    </row>
    <row r="35" customFormat="false" ht="15" hidden="false" customHeight="false" outlineLevel="0" collapsed="false">
      <c r="A35" s="4"/>
      <c r="B35" s="5" t="s">
        <v>952</v>
      </c>
    </row>
    <row r="36" customFormat="false" ht="15" hidden="false" customHeight="false" outlineLevel="0" collapsed="false">
      <c r="A36" s="4"/>
      <c r="B36" s="5" t="s">
        <v>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16"/>
    <col collapsed="false" customWidth="true" hidden="false" outlineLevel="0" max="4" min="4" style="0" width="12"/>
    <col collapsed="false" customWidth="true" hidden="false" outlineLevel="0" max="5" min="5" style="0" width="26"/>
    <col collapsed="false" customWidth="true" hidden="false" outlineLevel="0" max="6" min="6" style="0" width="16"/>
    <col collapsed="false" customWidth="true" hidden="false" outlineLevel="0" max="7" min="7" style="0" width="20"/>
    <col collapsed="false" customWidth="true" hidden="false" outlineLevel="0" max="8" min="8" style="0" width="36"/>
    <col collapsed="false" customWidth="true" hidden="false" outlineLevel="0" max="9" min="9" style="0" width="28"/>
    <col collapsed="false" customWidth="true" hidden="false" outlineLevel="0" max="10" min="10" style="0" width="60"/>
    <col collapsed="false" customWidth="true" hidden="false" outlineLevel="0" max="11" min="11" style="0" width="20"/>
    <col collapsed="false" customWidth="true" hidden="false" outlineLevel="0" max="12" min="12" style="0" width="22"/>
    <col collapsed="false" customWidth="true" hidden="false" outlineLevel="0" max="13" min="13" style="0" width="28"/>
    <col collapsed="false" customWidth="true" hidden="false" outlineLevel="0" max="14" min="14" style="0" width="7"/>
    <col collapsed="false" customWidth="true" hidden="false" outlineLevel="0" max="15" min="15" style="0" width="30"/>
    <col collapsed="false" customWidth="true" hidden="false" outlineLevel="0" max="16" min="16" style="0" width="20"/>
    <col collapsed="false" customWidth="true" hidden="false" outlineLevel="0" max="17" min="17" style="0" width="12"/>
    <col collapsed="false" customWidth="true" hidden="false" outlineLevel="0" max="18" min="18" style="0" width="48"/>
    <col collapsed="false" customWidth="true" hidden="false" outlineLevel="0" max="19" min="19" style="0" width="40"/>
    <col collapsed="false" customWidth="true" hidden="false" outlineLevel="0" max="20" min="20" style="0" width="60"/>
  </cols>
  <sheetData>
    <row r="1" customFormat="false" ht="30" hidden="false" customHeight="true" outlineLevel="0" collapsed="false">
      <c r="A1" s="9" t="s">
        <v>40</v>
      </c>
      <c r="B1" s="9" t="s">
        <v>41</v>
      </c>
      <c r="C1" s="9" t="s">
        <v>42</v>
      </c>
      <c r="D1" s="9" t="s">
        <v>43</v>
      </c>
      <c r="E1" s="9" t="s">
        <v>44</v>
      </c>
      <c r="F1" s="9" t="s">
        <v>45</v>
      </c>
      <c r="G1" s="9" t="s">
        <v>46</v>
      </c>
      <c r="H1" s="9" t="s">
        <v>47</v>
      </c>
      <c r="I1" s="9" t="s">
        <v>48</v>
      </c>
      <c r="J1" s="9" t="s">
        <v>49</v>
      </c>
      <c r="K1" s="9" t="s">
        <v>50</v>
      </c>
      <c r="L1" s="9" t="s">
        <v>51</v>
      </c>
      <c r="M1" s="9" t="s">
        <v>52</v>
      </c>
      <c r="N1" s="9" t="s">
        <v>53</v>
      </c>
      <c r="O1" s="9" t="s">
        <v>54</v>
      </c>
      <c r="P1" s="9" t="s">
        <v>55</v>
      </c>
      <c r="Q1" s="9" t="s">
        <v>56</v>
      </c>
      <c r="R1" s="9" t="s">
        <v>57</v>
      </c>
      <c r="S1" s="9" t="s">
        <v>58</v>
      </c>
      <c r="T1" s="9" t="s">
        <v>59</v>
      </c>
    </row>
    <row r="2" customFormat="false" ht="23.85" hidden="false" customHeight="false" outlineLevel="0" collapsed="false">
      <c r="A2" s="10" t="s">
        <v>60</v>
      </c>
      <c r="B2" s="10" t="s">
        <v>61</v>
      </c>
      <c r="C2" s="10" t="s">
        <v>62</v>
      </c>
      <c r="D2" s="10" t="s">
        <v>63</v>
      </c>
      <c r="E2" s="10"/>
      <c r="F2" s="10" t="s">
        <v>64</v>
      </c>
      <c r="G2" s="10" t="s">
        <v>65</v>
      </c>
      <c r="H2" s="10" t="s">
        <v>66</v>
      </c>
      <c r="I2" s="10" t="s">
        <v>67</v>
      </c>
      <c r="J2" s="10" t="s">
        <v>68</v>
      </c>
      <c r="K2" s="10"/>
      <c r="L2" s="10"/>
      <c r="M2" s="10"/>
      <c r="N2" s="10" t="s">
        <v>12</v>
      </c>
      <c r="O2" s="10" t="s">
        <v>69</v>
      </c>
      <c r="P2" s="10" t="s">
        <v>70</v>
      </c>
      <c r="Q2" s="10" t="s">
        <v>335</v>
      </c>
      <c r="R2" s="10" t="s">
        <v>72</v>
      </c>
      <c r="S2" s="11" t="s">
        <v>73</v>
      </c>
      <c r="T2" s="10" t="s">
        <v>74</v>
      </c>
    </row>
    <row r="3" customFormat="false" ht="23.85" hidden="false" customHeight="false" outlineLevel="0" collapsed="false">
      <c r="A3" s="10" t="s">
        <v>75</v>
      </c>
      <c r="B3" s="10" t="s">
        <v>61</v>
      </c>
      <c r="C3" s="10" t="s">
        <v>62</v>
      </c>
      <c r="D3" s="10" t="s">
        <v>63</v>
      </c>
      <c r="E3" s="10"/>
      <c r="F3" s="10" t="s">
        <v>76</v>
      </c>
      <c r="G3" s="10" t="s">
        <v>65</v>
      </c>
      <c r="H3" s="10" t="s">
        <v>77</v>
      </c>
      <c r="I3" s="10" t="s">
        <v>78</v>
      </c>
      <c r="J3" s="10" t="s">
        <v>79</v>
      </c>
      <c r="K3" s="10"/>
      <c r="L3" s="10"/>
      <c r="M3" s="10"/>
      <c r="N3" s="10" t="s">
        <v>12</v>
      </c>
      <c r="O3" s="10" t="s">
        <v>80</v>
      </c>
      <c r="P3" s="10" t="s">
        <v>81</v>
      </c>
      <c r="Q3" s="10" t="s">
        <v>82</v>
      </c>
      <c r="R3" s="10" t="s">
        <v>83</v>
      </c>
      <c r="S3" s="11" t="s">
        <v>84</v>
      </c>
      <c r="T3" s="10" t="s">
        <v>85</v>
      </c>
    </row>
    <row r="4" customFormat="false" ht="23.85" hidden="false" customHeight="false" outlineLevel="0" collapsed="false">
      <c r="A4" s="10" t="s">
        <v>86</v>
      </c>
      <c r="B4" s="10" t="s">
        <v>61</v>
      </c>
      <c r="C4" s="10" t="s">
        <v>87</v>
      </c>
      <c r="D4" s="10" t="s">
        <v>88</v>
      </c>
      <c r="E4" s="10" t="s">
        <v>89</v>
      </c>
      <c r="F4" s="10" t="s">
        <v>90</v>
      </c>
      <c r="G4" s="10" t="s">
        <v>91</v>
      </c>
      <c r="H4" s="10" t="s">
        <v>92</v>
      </c>
      <c r="I4" s="10" t="s">
        <v>93</v>
      </c>
      <c r="J4" s="10" t="s">
        <v>94</v>
      </c>
      <c r="K4" s="10"/>
      <c r="L4" s="10"/>
      <c r="M4" s="10"/>
      <c r="N4" s="10" t="s">
        <v>14</v>
      </c>
      <c r="O4" s="10" t="s">
        <v>95</v>
      </c>
      <c r="P4" s="10" t="s">
        <v>96</v>
      </c>
      <c r="Q4" s="10" t="s">
        <v>97</v>
      </c>
      <c r="R4" s="10" t="s">
        <v>98</v>
      </c>
      <c r="S4" s="11" t="s">
        <v>99</v>
      </c>
      <c r="T4" s="10" t="s">
        <v>100</v>
      </c>
    </row>
    <row r="5" customFormat="false" ht="23.85" hidden="false" customHeight="false" outlineLevel="0" collapsed="false">
      <c r="A5" s="10" t="s">
        <v>101</v>
      </c>
      <c r="B5" s="10" t="s">
        <v>61</v>
      </c>
      <c r="C5" s="10" t="s">
        <v>87</v>
      </c>
      <c r="D5" s="10" t="s">
        <v>88</v>
      </c>
      <c r="E5" s="10" t="s">
        <v>89</v>
      </c>
      <c r="F5" s="10" t="s">
        <v>90</v>
      </c>
      <c r="G5" s="10" t="s">
        <v>91</v>
      </c>
      <c r="H5" s="10" t="s">
        <v>102</v>
      </c>
      <c r="I5" s="10" t="s">
        <v>103</v>
      </c>
      <c r="J5" s="10" t="s">
        <v>104</v>
      </c>
      <c r="K5" s="10"/>
      <c r="L5" s="10"/>
      <c r="M5" s="10"/>
      <c r="N5" s="10" t="s">
        <v>12</v>
      </c>
      <c r="O5" s="10" t="s">
        <v>105</v>
      </c>
      <c r="P5" s="10" t="s">
        <v>81</v>
      </c>
      <c r="Q5" s="10" t="s">
        <v>106</v>
      </c>
      <c r="R5" s="10" t="s">
        <v>107</v>
      </c>
      <c r="S5" s="11" t="s">
        <v>108</v>
      </c>
      <c r="T5" s="10" t="s">
        <v>109</v>
      </c>
    </row>
    <row r="6" customFormat="false" ht="23.85" hidden="false" customHeight="false" outlineLevel="0" collapsed="false">
      <c r="A6" s="10" t="s">
        <v>110</v>
      </c>
      <c r="B6" s="10" t="s">
        <v>61</v>
      </c>
      <c r="C6" s="10" t="s">
        <v>87</v>
      </c>
      <c r="D6" s="10" t="s">
        <v>88</v>
      </c>
      <c r="E6" s="10" t="s">
        <v>111</v>
      </c>
      <c r="F6" s="10" t="s">
        <v>90</v>
      </c>
      <c r="G6" s="10" t="s">
        <v>91</v>
      </c>
      <c r="H6" s="10" t="s">
        <v>112</v>
      </c>
      <c r="I6" s="10" t="s">
        <v>113</v>
      </c>
      <c r="J6" s="10" t="s">
        <v>114</v>
      </c>
      <c r="K6" s="10"/>
      <c r="L6" s="10"/>
      <c r="M6" s="10"/>
      <c r="N6" s="10" t="s">
        <v>12</v>
      </c>
      <c r="O6" s="10" t="s">
        <v>115</v>
      </c>
      <c r="P6" s="10" t="s">
        <v>116</v>
      </c>
      <c r="Q6" s="10" t="s">
        <v>117</v>
      </c>
      <c r="R6" s="10" t="s">
        <v>118</v>
      </c>
      <c r="S6" s="11" t="s">
        <v>119</v>
      </c>
      <c r="T6" s="10" t="s">
        <v>120</v>
      </c>
    </row>
    <row r="7" customFormat="false" ht="23.85" hidden="false" customHeight="false" outlineLevel="0" collapsed="false">
      <c r="A7" s="10" t="s">
        <v>121</v>
      </c>
      <c r="B7" s="10" t="s">
        <v>61</v>
      </c>
      <c r="C7" s="10" t="s">
        <v>87</v>
      </c>
      <c r="D7" s="10" t="s">
        <v>88</v>
      </c>
      <c r="E7" s="10" t="s">
        <v>122</v>
      </c>
      <c r="F7" s="10" t="s">
        <v>90</v>
      </c>
      <c r="G7" s="10" t="s">
        <v>91</v>
      </c>
      <c r="H7" s="10" t="s">
        <v>123</v>
      </c>
      <c r="I7" s="10" t="s">
        <v>124</v>
      </c>
      <c r="J7" s="10" t="s">
        <v>125</v>
      </c>
      <c r="K7" s="10"/>
      <c r="L7" s="10"/>
      <c r="M7" s="10"/>
      <c r="N7" s="10" t="s">
        <v>14</v>
      </c>
      <c r="O7" s="10" t="s">
        <v>126</v>
      </c>
      <c r="P7" s="10" t="s">
        <v>70</v>
      </c>
      <c r="Q7" s="10" t="s">
        <v>127</v>
      </c>
      <c r="R7" s="10" t="s">
        <v>128</v>
      </c>
      <c r="S7" s="11" t="s">
        <v>129</v>
      </c>
      <c r="T7" s="10" t="s">
        <v>130</v>
      </c>
    </row>
    <row r="8" customFormat="false" ht="23.85" hidden="false" customHeight="false" outlineLevel="0" collapsed="false">
      <c r="A8" s="10" t="s">
        <v>131</v>
      </c>
      <c r="B8" s="10" t="s">
        <v>61</v>
      </c>
      <c r="C8" s="10" t="s">
        <v>132</v>
      </c>
      <c r="D8" s="10" t="s">
        <v>133</v>
      </c>
      <c r="E8" s="10" t="s">
        <v>122</v>
      </c>
      <c r="F8" s="10" t="s">
        <v>76</v>
      </c>
      <c r="G8" s="10" t="s">
        <v>134</v>
      </c>
      <c r="H8" s="10" t="s">
        <v>135</v>
      </c>
      <c r="I8" s="10" t="s">
        <v>136</v>
      </c>
      <c r="J8" s="10" t="s">
        <v>137</v>
      </c>
      <c r="K8" s="10"/>
      <c r="L8" s="10"/>
      <c r="M8" s="10"/>
      <c r="N8" s="10" t="s">
        <v>14</v>
      </c>
      <c r="O8" s="10" t="s">
        <v>138</v>
      </c>
      <c r="P8" s="10" t="s">
        <v>96</v>
      </c>
      <c r="Q8" s="10" t="s">
        <v>139</v>
      </c>
      <c r="R8" s="10" t="s">
        <v>140</v>
      </c>
      <c r="S8" s="11" t="s">
        <v>141</v>
      </c>
      <c r="T8" s="10" t="s">
        <v>142</v>
      </c>
    </row>
    <row r="9" customFormat="false" ht="23.85" hidden="false" customHeight="false" outlineLevel="0" collapsed="false">
      <c r="A9" s="10" t="s">
        <v>143</v>
      </c>
      <c r="B9" s="10" t="s">
        <v>61</v>
      </c>
      <c r="C9" s="10" t="s">
        <v>62</v>
      </c>
      <c r="D9" s="10" t="s">
        <v>63</v>
      </c>
      <c r="E9" s="10"/>
      <c r="F9" s="10" t="s">
        <v>64</v>
      </c>
      <c r="G9" s="10" t="s">
        <v>134</v>
      </c>
      <c r="H9" s="10" t="s">
        <v>144</v>
      </c>
      <c r="I9" s="10" t="s">
        <v>145</v>
      </c>
      <c r="J9" s="10" t="s">
        <v>146</v>
      </c>
      <c r="K9" s="10"/>
      <c r="L9" s="10"/>
      <c r="M9" s="10"/>
      <c r="N9" s="10" t="s">
        <v>14</v>
      </c>
      <c r="O9" s="10" t="s">
        <v>147</v>
      </c>
      <c r="P9" s="10" t="s">
        <v>96</v>
      </c>
      <c r="Q9" s="10" t="s">
        <v>148</v>
      </c>
      <c r="R9" s="10" t="s">
        <v>149</v>
      </c>
      <c r="S9" s="11" t="inlineStr">
        <is>
          <t xml:space="preserve">https://doi.org/10.1016/S2468-2667(21)00232-2</t>
        </is>
      </c>
      <c r="T9" s="10" t="s">
        <v>151</v>
      </c>
    </row>
    <row r="10" customFormat="false" ht="23.85" hidden="false" customHeight="false" outlineLevel="0" collapsed="false">
      <c r="A10" s="10" t="s">
        <v>152</v>
      </c>
      <c r="B10" s="10" t="s">
        <v>61</v>
      </c>
      <c r="C10" s="10" t="s">
        <v>132</v>
      </c>
      <c r="D10" s="10" t="s">
        <v>133</v>
      </c>
      <c r="E10" s="10" t="s">
        <v>111</v>
      </c>
      <c r="F10" s="10" t="s">
        <v>153</v>
      </c>
      <c r="G10" s="10" t="s">
        <v>91</v>
      </c>
      <c r="H10" s="10" t="s">
        <v>154</v>
      </c>
      <c r="I10" s="10" t="s">
        <v>155</v>
      </c>
      <c r="J10" s="10" t="s">
        <v>156</v>
      </c>
      <c r="K10" s="10"/>
      <c r="L10" s="10"/>
      <c r="M10" s="10"/>
      <c r="N10" s="10" t="s">
        <v>12</v>
      </c>
      <c r="O10" s="10" t="s">
        <v>157</v>
      </c>
      <c r="P10" s="10" t="s">
        <v>158</v>
      </c>
      <c r="Q10" s="10" t="s">
        <v>117</v>
      </c>
      <c r="R10" s="10" t="s">
        <v>159</v>
      </c>
      <c r="S10" s="11" t="s">
        <v>160</v>
      </c>
      <c r="T10" s="10" t="s">
        <v>161</v>
      </c>
    </row>
    <row r="11" customFormat="false" ht="23.85" hidden="false" customHeight="false" outlineLevel="0" collapsed="false">
      <c r="A11" s="10" t="s">
        <v>162</v>
      </c>
      <c r="B11" s="10" t="s">
        <v>61</v>
      </c>
      <c r="C11" s="10" t="s">
        <v>163</v>
      </c>
      <c r="D11" s="10" t="s">
        <v>164</v>
      </c>
      <c r="E11" s="10" t="s">
        <v>165</v>
      </c>
      <c r="F11" s="10" t="s">
        <v>64</v>
      </c>
      <c r="G11" s="10" t="s">
        <v>134</v>
      </c>
      <c r="H11" s="10" t="s">
        <v>166</v>
      </c>
      <c r="I11" s="10" t="s">
        <v>167</v>
      </c>
      <c r="J11" s="10" t="s">
        <v>168</v>
      </c>
      <c r="K11" s="10"/>
      <c r="L11" s="10"/>
      <c r="M11" s="10"/>
      <c r="N11" s="10" t="s">
        <v>12</v>
      </c>
      <c r="O11" s="10" t="s">
        <v>169</v>
      </c>
      <c r="P11" s="10" t="s">
        <v>170</v>
      </c>
      <c r="Q11" s="10" t="s">
        <v>171</v>
      </c>
      <c r="R11" s="10" t="s">
        <v>172</v>
      </c>
      <c r="S11" s="11" t="s">
        <v>173</v>
      </c>
      <c r="T11" s="10" t="s">
        <v>174</v>
      </c>
    </row>
    <row r="12" customFormat="false" ht="23.85" hidden="false" customHeight="false" outlineLevel="0" collapsed="false">
      <c r="A12" s="10" t="s">
        <v>175</v>
      </c>
      <c r="B12" s="10" t="s">
        <v>61</v>
      </c>
      <c r="C12" s="10" t="s">
        <v>163</v>
      </c>
      <c r="D12" s="10" t="s">
        <v>164</v>
      </c>
      <c r="E12" s="10" t="s">
        <v>165</v>
      </c>
      <c r="F12" s="10" t="s">
        <v>176</v>
      </c>
      <c r="G12" s="10" t="s">
        <v>134</v>
      </c>
      <c r="H12" s="10" t="s">
        <v>177</v>
      </c>
      <c r="I12" s="10" t="s">
        <v>178</v>
      </c>
      <c r="J12" s="10" t="s">
        <v>179</v>
      </c>
      <c r="K12" s="10"/>
      <c r="L12" s="10"/>
      <c r="M12" s="10"/>
      <c r="N12" s="10" t="s">
        <v>12</v>
      </c>
      <c r="O12" s="10" t="s">
        <v>180</v>
      </c>
      <c r="P12" s="10" t="s">
        <v>181</v>
      </c>
      <c r="Q12" s="10" t="s">
        <v>182</v>
      </c>
      <c r="R12" s="10" t="s">
        <v>183</v>
      </c>
      <c r="S12" s="11" t="s">
        <v>184</v>
      </c>
      <c r="T12" s="10" t="s">
        <v>185</v>
      </c>
    </row>
    <row r="13" customFormat="false" ht="23.85" hidden="false" customHeight="false" outlineLevel="0" collapsed="false">
      <c r="A13" s="10" t="s">
        <v>186</v>
      </c>
      <c r="B13" s="10" t="s">
        <v>61</v>
      </c>
      <c r="C13" s="10" t="s">
        <v>187</v>
      </c>
      <c r="D13" s="10" t="s">
        <v>188</v>
      </c>
      <c r="E13" s="10" t="s">
        <v>165</v>
      </c>
      <c r="F13" s="10" t="s">
        <v>153</v>
      </c>
      <c r="G13" s="10" t="s">
        <v>65</v>
      </c>
      <c r="H13" s="10" t="s">
        <v>189</v>
      </c>
      <c r="I13" s="10" t="s">
        <v>190</v>
      </c>
      <c r="J13" s="10" t="s">
        <v>191</v>
      </c>
      <c r="K13" s="10"/>
      <c r="L13" s="10"/>
      <c r="M13" s="10"/>
      <c r="N13" s="10" t="s">
        <v>14</v>
      </c>
      <c r="O13" s="10" t="s">
        <v>192</v>
      </c>
      <c r="P13" s="10" t="s">
        <v>81</v>
      </c>
      <c r="Q13" s="10" t="s">
        <v>256</v>
      </c>
      <c r="R13" s="10" t="s">
        <v>194</v>
      </c>
      <c r="S13" s="11" t="s">
        <v>195</v>
      </c>
      <c r="T13" s="10" t="s">
        <v>196</v>
      </c>
    </row>
    <row r="14" customFormat="false" ht="23.85" hidden="false" customHeight="false" outlineLevel="0" collapsed="false">
      <c r="A14" s="10" t="s">
        <v>197</v>
      </c>
      <c r="B14" s="10" t="s">
        <v>61</v>
      </c>
      <c r="C14" s="10" t="s">
        <v>62</v>
      </c>
      <c r="D14" s="10" t="s">
        <v>63</v>
      </c>
      <c r="E14" s="10" t="s">
        <v>111</v>
      </c>
      <c r="F14" s="10" t="s">
        <v>64</v>
      </c>
      <c r="G14" s="10" t="s">
        <v>91</v>
      </c>
      <c r="H14" s="10" t="s">
        <v>198</v>
      </c>
      <c r="I14" s="10" t="s">
        <v>199</v>
      </c>
      <c r="J14" s="10" t="s">
        <v>200</v>
      </c>
      <c r="K14" s="10"/>
      <c r="L14" s="10"/>
      <c r="M14" s="10"/>
      <c r="N14" s="10" t="s">
        <v>14</v>
      </c>
      <c r="O14" s="10" t="s">
        <v>201</v>
      </c>
      <c r="P14" s="10" t="s">
        <v>96</v>
      </c>
      <c r="Q14" s="10" t="s">
        <v>202</v>
      </c>
      <c r="R14" s="10" t="s">
        <v>203</v>
      </c>
      <c r="S14" s="11" t="s">
        <v>204</v>
      </c>
      <c r="T14" s="10" t="s">
        <v>205</v>
      </c>
    </row>
    <row r="15" customFormat="false" ht="23.85" hidden="false" customHeight="false" outlineLevel="0" collapsed="false">
      <c r="A15" s="10" t="s">
        <v>206</v>
      </c>
      <c r="B15" s="10" t="s">
        <v>61</v>
      </c>
      <c r="C15" s="10" t="s">
        <v>62</v>
      </c>
      <c r="D15" s="10" t="s">
        <v>63</v>
      </c>
      <c r="E15" s="10" t="s">
        <v>111</v>
      </c>
      <c r="F15" s="10" t="s">
        <v>64</v>
      </c>
      <c r="G15" s="10" t="s">
        <v>91</v>
      </c>
      <c r="H15" s="10" t="s">
        <v>207</v>
      </c>
      <c r="I15" s="10" t="s">
        <v>208</v>
      </c>
      <c r="J15" s="10" t="s">
        <v>209</v>
      </c>
      <c r="K15" s="10"/>
      <c r="L15" s="10"/>
      <c r="M15" s="10"/>
      <c r="N15" s="10" t="s">
        <v>14</v>
      </c>
      <c r="O15" s="10" t="s">
        <v>210</v>
      </c>
      <c r="P15" s="10" t="s">
        <v>96</v>
      </c>
      <c r="Q15" s="10" t="s">
        <v>211</v>
      </c>
      <c r="R15" s="10" t="s">
        <v>212</v>
      </c>
      <c r="S15" s="11" t="s">
        <v>213</v>
      </c>
      <c r="T15" s="10" t="s">
        <v>214</v>
      </c>
    </row>
    <row r="16" customFormat="false" ht="23.85" hidden="false" customHeight="false" outlineLevel="0" collapsed="false">
      <c r="A16" s="10" t="s">
        <v>215</v>
      </c>
      <c r="B16" s="10" t="s">
        <v>61</v>
      </c>
      <c r="C16" s="10" t="s">
        <v>187</v>
      </c>
      <c r="D16" s="10" t="s">
        <v>188</v>
      </c>
      <c r="E16" s="10" t="s">
        <v>216</v>
      </c>
      <c r="F16" s="10" t="s">
        <v>217</v>
      </c>
      <c r="G16" s="10" t="s">
        <v>91</v>
      </c>
      <c r="H16" s="10" t="s">
        <v>218</v>
      </c>
      <c r="I16" s="10" t="s">
        <v>219</v>
      </c>
      <c r="J16" s="10" t="s">
        <v>220</v>
      </c>
      <c r="K16" s="10"/>
      <c r="L16" s="10"/>
      <c r="M16" s="10"/>
      <c r="N16" s="10" t="s">
        <v>14</v>
      </c>
      <c r="O16" s="10" t="s">
        <v>95</v>
      </c>
      <c r="P16" s="10" t="s">
        <v>96</v>
      </c>
      <c r="Q16" s="10" t="s">
        <v>221</v>
      </c>
      <c r="R16" s="10" t="s">
        <v>222</v>
      </c>
      <c r="S16" s="11" t="s">
        <v>223</v>
      </c>
      <c r="T16" s="10" t="s">
        <v>224</v>
      </c>
    </row>
    <row r="17" customFormat="false" ht="23.85" hidden="false" customHeight="false" outlineLevel="0" collapsed="false">
      <c r="A17" s="10" t="s">
        <v>225</v>
      </c>
      <c r="B17" s="10" t="s">
        <v>61</v>
      </c>
      <c r="C17" s="10" t="s">
        <v>187</v>
      </c>
      <c r="D17" s="10" t="s">
        <v>188</v>
      </c>
      <c r="E17" s="10" t="s">
        <v>216</v>
      </c>
      <c r="F17" s="10" t="s">
        <v>217</v>
      </c>
      <c r="G17" s="10" t="s">
        <v>91</v>
      </c>
      <c r="H17" s="10" t="s">
        <v>226</v>
      </c>
      <c r="I17" s="10" t="s">
        <v>113</v>
      </c>
      <c r="J17" s="10" t="s">
        <v>227</v>
      </c>
      <c r="K17" s="10"/>
      <c r="L17" s="10"/>
      <c r="M17" s="10"/>
      <c r="N17" s="10" t="s">
        <v>12</v>
      </c>
      <c r="O17" s="10" t="s">
        <v>228</v>
      </c>
      <c r="P17" s="10" t="s">
        <v>81</v>
      </c>
      <c r="Q17" s="10" t="s">
        <v>117</v>
      </c>
      <c r="R17" s="10" t="s">
        <v>229</v>
      </c>
      <c r="S17" s="11" t="s">
        <v>230</v>
      </c>
      <c r="T17" s="10" t="s">
        <v>231</v>
      </c>
    </row>
    <row r="18" customFormat="false" ht="23.85" hidden="false" customHeight="false" outlineLevel="0" collapsed="false">
      <c r="A18" s="10" t="s">
        <v>232</v>
      </c>
      <c r="B18" s="10" t="s">
        <v>61</v>
      </c>
      <c r="C18" s="10" t="s">
        <v>233</v>
      </c>
      <c r="D18" s="10" t="s">
        <v>234</v>
      </c>
      <c r="E18" s="10" t="s">
        <v>216</v>
      </c>
      <c r="F18" s="10" t="s">
        <v>217</v>
      </c>
      <c r="G18" s="10" t="s">
        <v>91</v>
      </c>
      <c r="H18" s="10" t="s">
        <v>235</v>
      </c>
      <c r="I18" s="10" t="s">
        <v>113</v>
      </c>
      <c r="J18" s="10" t="s">
        <v>236</v>
      </c>
      <c r="K18" s="10"/>
      <c r="L18" s="10"/>
      <c r="M18" s="10"/>
      <c r="N18" s="10" t="s">
        <v>12</v>
      </c>
      <c r="O18" s="10" t="s">
        <v>237</v>
      </c>
      <c r="P18" s="10" t="s">
        <v>238</v>
      </c>
      <c r="Q18" s="10" t="s">
        <v>117</v>
      </c>
      <c r="R18" s="10" t="s">
        <v>239</v>
      </c>
      <c r="S18" s="11" t="s">
        <v>240</v>
      </c>
      <c r="T18" s="10" t="s">
        <v>241</v>
      </c>
    </row>
    <row r="19" customFormat="false" ht="23.85" hidden="false" customHeight="false" outlineLevel="0" collapsed="false">
      <c r="A19" s="10" t="s">
        <v>242</v>
      </c>
      <c r="B19" s="10" t="s">
        <v>61</v>
      </c>
      <c r="C19" s="10" t="s">
        <v>62</v>
      </c>
      <c r="D19" s="10" t="s">
        <v>63</v>
      </c>
      <c r="E19" s="10" t="s">
        <v>216</v>
      </c>
      <c r="F19" s="10" t="s">
        <v>90</v>
      </c>
      <c r="G19" s="10" t="s">
        <v>91</v>
      </c>
      <c r="H19" s="10" t="s">
        <v>243</v>
      </c>
      <c r="I19" s="10" t="s">
        <v>244</v>
      </c>
      <c r="J19" s="10" t="s">
        <v>245</v>
      </c>
      <c r="K19" s="10"/>
      <c r="L19" s="10"/>
      <c r="M19" s="10"/>
      <c r="N19" s="10" t="s">
        <v>14</v>
      </c>
      <c r="O19" s="10" t="s">
        <v>246</v>
      </c>
      <c r="P19" s="10" t="s">
        <v>96</v>
      </c>
      <c r="Q19" s="10" t="s">
        <v>256</v>
      </c>
      <c r="R19" s="10" t="s">
        <v>248</v>
      </c>
      <c r="S19" s="11" t="s">
        <v>249</v>
      </c>
      <c r="T19" s="10" t="s">
        <v>250</v>
      </c>
    </row>
    <row r="20" customFormat="false" ht="23.85" hidden="false" customHeight="false" outlineLevel="0" collapsed="false">
      <c r="A20" s="10" t="s">
        <v>251</v>
      </c>
      <c r="B20" s="10" t="s">
        <v>61</v>
      </c>
      <c r="C20" s="10" t="s">
        <v>187</v>
      </c>
      <c r="D20" s="10" t="s">
        <v>188</v>
      </c>
      <c r="E20" s="10"/>
      <c r="F20" s="10" t="s">
        <v>76</v>
      </c>
      <c r="G20" s="10" t="s">
        <v>65</v>
      </c>
      <c r="H20" s="10" t="s">
        <v>252</v>
      </c>
      <c r="I20" s="10" t="inlineStr">
        <is>
          <t xml:space="preserve">Spend per child per year</t>
        </is>
      </c>
      <c r="J20" s="10" t="s">
        <v>254</v>
      </c>
      <c r="K20" s="10"/>
      <c r="L20" s="10"/>
      <c r="M20" s="10"/>
      <c r="N20" s="10" t="s">
        <v>10</v>
      </c>
      <c r="O20" s="10" t="s">
        <v>255</v>
      </c>
      <c r="P20" s="10" t="s">
        <v>81</v>
      </c>
      <c r="Q20" s="10" t="s">
        <v>256</v>
      </c>
      <c r="R20" s="10" t="s">
        <v>257</v>
      </c>
      <c r="S20" s="11" t="s">
        <v>258</v>
      </c>
      <c r="T20" s="10" t="inlineStr">
        <is>
          <t xml:space="preserve">CMA (2022) found the largest providers earn materially higher profits than a working market would. NAO figure is spend per child; its residential category includes secure units, residential care homes and residential schools.</t>
        </is>
      </c>
    </row>
    <row r="21" customFormat="false" ht="23.85" hidden="false" customHeight="false" outlineLevel="0" collapsed="false">
      <c r="A21" s="10" t="s">
        <v>260</v>
      </c>
      <c r="B21" s="10" t="s">
        <v>61</v>
      </c>
      <c r="C21" s="10" t="s">
        <v>261</v>
      </c>
      <c r="D21" s="10" t="s">
        <v>262</v>
      </c>
      <c r="E21" s="10" t="s">
        <v>263</v>
      </c>
      <c r="F21" s="10" t="s">
        <v>176</v>
      </c>
      <c r="G21" s="10" t="s">
        <v>65</v>
      </c>
      <c r="H21" s="10" t="s">
        <v>264</v>
      </c>
      <c r="I21" s="10" t="s">
        <v>265</v>
      </c>
      <c r="J21" s="10" t="s">
        <v>266</v>
      </c>
      <c r="K21" s="10"/>
      <c r="L21" s="10"/>
      <c r="M21" s="10"/>
      <c r="N21" s="10" t="s">
        <v>14</v>
      </c>
      <c r="O21" s="10" t="s">
        <v>267</v>
      </c>
      <c r="P21" s="10" t="s">
        <v>268</v>
      </c>
      <c r="Q21" s="10" t="s">
        <v>269</v>
      </c>
      <c r="R21" s="10" t="s">
        <v>270</v>
      </c>
      <c r="S21" s="11" t="s">
        <v>271</v>
      </c>
      <c r="T21" s="10" t="s">
        <v>272</v>
      </c>
    </row>
    <row r="22" customFormat="false" ht="23.85" hidden="false" customHeight="false" outlineLevel="0" collapsed="false">
      <c r="A22" s="10" t="s">
        <v>273</v>
      </c>
      <c r="B22" s="10" t="s">
        <v>61</v>
      </c>
      <c r="C22" s="10" t="s">
        <v>233</v>
      </c>
      <c r="D22" s="10" t="s">
        <v>234</v>
      </c>
      <c r="E22" s="10" t="s">
        <v>274</v>
      </c>
      <c r="F22" s="10" t="s">
        <v>90</v>
      </c>
      <c r="G22" s="10" t="s">
        <v>91</v>
      </c>
      <c r="H22" s="10" t="s">
        <v>275</v>
      </c>
      <c r="I22" s="10" t="s">
        <v>276</v>
      </c>
      <c r="J22" s="10" t="s">
        <v>277</v>
      </c>
      <c r="K22" s="10"/>
      <c r="L22" s="10"/>
      <c r="M22" s="10"/>
      <c r="N22" s="10" t="s">
        <v>14</v>
      </c>
      <c r="O22" s="10" t="s">
        <v>278</v>
      </c>
      <c r="P22" s="10" t="s">
        <v>81</v>
      </c>
      <c r="Q22" s="10" t="s">
        <v>279</v>
      </c>
      <c r="R22" s="10" t="s">
        <v>280</v>
      </c>
      <c r="S22" s="11" t="s">
        <v>281</v>
      </c>
      <c r="T22" s="10" t="s">
        <v>282</v>
      </c>
    </row>
    <row r="23" customFormat="false" ht="23.85" hidden="false" customHeight="false" outlineLevel="0" collapsed="false">
      <c r="A23" s="10" t="s">
        <v>283</v>
      </c>
      <c r="B23" s="10" t="s">
        <v>61</v>
      </c>
      <c r="C23" s="10" t="s">
        <v>233</v>
      </c>
      <c r="D23" s="10" t="s">
        <v>234</v>
      </c>
      <c r="E23" s="10" t="s">
        <v>274</v>
      </c>
      <c r="F23" s="10" t="s">
        <v>90</v>
      </c>
      <c r="G23" s="10" t="s">
        <v>134</v>
      </c>
      <c r="H23" s="10" t="s">
        <v>284</v>
      </c>
      <c r="I23" s="10" t="s">
        <v>285</v>
      </c>
      <c r="J23" s="10" t="s">
        <v>286</v>
      </c>
      <c r="K23" s="10"/>
      <c r="L23" s="10"/>
      <c r="M23" s="10"/>
      <c r="N23" s="10" t="s">
        <v>14</v>
      </c>
      <c r="O23" s="10" t="s">
        <v>287</v>
      </c>
      <c r="P23" s="10" t="s">
        <v>81</v>
      </c>
      <c r="Q23" s="10" t="s">
        <v>202</v>
      </c>
      <c r="R23" s="10" t="s">
        <v>288</v>
      </c>
      <c r="S23" s="11" t="s">
        <v>289</v>
      </c>
      <c r="T23" s="10" t="s">
        <v>290</v>
      </c>
    </row>
    <row r="24" customFormat="false" ht="23.85" hidden="false" customHeight="false" outlineLevel="0" collapsed="false">
      <c r="A24" s="10" t="s">
        <v>291</v>
      </c>
      <c r="B24" s="10" t="s">
        <v>61</v>
      </c>
      <c r="C24" s="10" t="s">
        <v>233</v>
      </c>
      <c r="D24" s="10" t="s">
        <v>234</v>
      </c>
      <c r="E24" s="10" t="s">
        <v>274</v>
      </c>
      <c r="F24" s="10" t="s">
        <v>217</v>
      </c>
      <c r="G24" s="10" t="s">
        <v>134</v>
      </c>
      <c r="H24" s="10" t="s">
        <v>292</v>
      </c>
      <c r="I24" s="10" t="s">
        <v>293</v>
      </c>
      <c r="J24" s="10" t="s">
        <v>294</v>
      </c>
      <c r="K24" s="10"/>
      <c r="L24" s="10"/>
      <c r="M24" s="10"/>
      <c r="N24" s="10" t="s">
        <v>12</v>
      </c>
      <c r="O24" s="10" t="s">
        <v>295</v>
      </c>
      <c r="P24" s="10" t="s">
        <v>81</v>
      </c>
      <c r="Q24" s="10" t="s">
        <v>202</v>
      </c>
      <c r="R24" s="10" t="s">
        <v>297</v>
      </c>
      <c r="S24" s="11" t="s">
        <v>298</v>
      </c>
      <c r="T24" s="10" t="s">
        <v>299</v>
      </c>
    </row>
    <row r="25" customFormat="false" ht="23.85" hidden="false" customHeight="false" outlineLevel="0" collapsed="false">
      <c r="A25" s="10" t="s">
        <v>300</v>
      </c>
      <c r="B25" s="10" t="s">
        <v>61</v>
      </c>
      <c r="C25" s="10" t="s">
        <v>233</v>
      </c>
      <c r="D25" s="10" t="s">
        <v>234</v>
      </c>
      <c r="E25" s="10"/>
      <c r="F25" s="10" t="s">
        <v>90</v>
      </c>
      <c r="G25" s="10" t="s">
        <v>91</v>
      </c>
      <c r="H25" s="10" t="s">
        <v>301</v>
      </c>
      <c r="I25" s="10" t="s">
        <v>302</v>
      </c>
      <c r="J25" s="10" t="s">
        <v>303</v>
      </c>
      <c r="K25" s="10"/>
      <c r="L25" s="10"/>
      <c r="M25" s="10"/>
      <c r="N25" s="10" t="s">
        <v>14</v>
      </c>
      <c r="O25" s="10" t="s">
        <v>246</v>
      </c>
      <c r="P25" s="10" t="s">
        <v>81</v>
      </c>
      <c r="Q25" s="10" t="s">
        <v>269</v>
      </c>
      <c r="R25" s="10" t="s">
        <v>304</v>
      </c>
      <c r="S25" s="11" t="s">
        <v>305</v>
      </c>
      <c r="T25" s="10" t="s">
        <v>306</v>
      </c>
    </row>
    <row r="26" customFormat="false" ht="23.85" hidden="false" customHeight="false" outlineLevel="0" collapsed="false">
      <c r="A26" s="10" t="s">
        <v>307</v>
      </c>
      <c r="B26" s="10" t="s">
        <v>61</v>
      </c>
      <c r="C26" s="10" t="s">
        <v>233</v>
      </c>
      <c r="D26" s="10" t="s">
        <v>234</v>
      </c>
      <c r="E26" s="10"/>
      <c r="F26" s="10" t="s">
        <v>90</v>
      </c>
      <c r="G26" s="10" t="s">
        <v>91</v>
      </c>
      <c r="H26" s="10" t="s">
        <v>308</v>
      </c>
      <c r="I26" s="10" t="s">
        <v>309</v>
      </c>
      <c r="J26" s="10" t="s">
        <v>310</v>
      </c>
      <c r="K26" s="10"/>
      <c r="L26" s="10"/>
      <c r="M26" s="10"/>
      <c r="N26" s="10" t="s">
        <v>14</v>
      </c>
      <c r="O26" s="10" t="s">
        <v>311</v>
      </c>
      <c r="P26" s="10" t="s">
        <v>96</v>
      </c>
      <c r="Q26" s="10" t="s">
        <v>312</v>
      </c>
      <c r="R26" s="10" t="s">
        <v>313</v>
      </c>
      <c r="S26" s="11" t="s">
        <v>314</v>
      </c>
      <c r="T26" s="10" t="s">
        <v>315</v>
      </c>
    </row>
    <row r="27" customFormat="false" ht="23.85" hidden="false" customHeight="false" outlineLevel="0" collapsed="false">
      <c r="A27" s="10" t="s">
        <v>316</v>
      </c>
      <c r="B27" s="10" t="s">
        <v>61</v>
      </c>
      <c r="C27" s="10" t="s">
        <v>62</v>
      </c>
      <c r="D27" s="10" t="s">
        <v>63</v>
      </c>
      <c r="E27" s="10"/>
      <c r="F27" s="10" t="s">
        <v>176</v>
      </c>
      <c r="G27" s="10" t="s">
        <v>65</v>
      </c>
      <c r="H27" s="10" t="s">
        <v>317</v>
      </c>
      <c r="I27" s="10" t="s">
        <v>309</v>
      </c>
      <c r="J27" s="10" t="s">
        <v>318</v>
      </c>
      <c r="K27" s="10"/>
      <c r="L27" s="10"/>
      <c r="M27" s="10"/>
      <c r="N27" s="10" t="s">
        <v>14</v>
      </c>
      <c r="O27" s="10" t="s">
        <v>95</v>
      </c>
      <c r="P27" s="10" t="s">
        <v>96</v>
      </c>
      <c r="Q27" s="10" t="s">
        <v>312</v>
      </c>
      <c r="R27" s="10" t="s">
        <v>319</v>
      </c>
      <c r="S27" s="11" t="s">
        <v>320</v>
      </c>
      <c r="T27" s="10" t="s">
        <v>321</v>
      </c>
    </row>
    <row r="28" customFormat="false" ht="23.85" hidden="false" customHeight="false" outlineLevel="0" collapsed="false">
      <c r="A28" s="10" t="s">
        <v>322</v>
      </c>
      <c r="B28" s="10" t="s">
        <v>61</v>
      </c>
      <c r="C28" s="10" t="s">
        <v>62</v>
      </c>
      <c r="D28" s="10" t="s">
        <v>63</v>
      </c>
      <c r="E28" s="10"/>
      <c r="F28" s="10" t="s">
        <v>323</v>
      </c>
      <c r="G28" s="10" t="s">
        <v>65</v>
      </c>
      <c r="H28" s="10" t="s">
        <v>324</v>
      </c>
      <c r="I28" s="10" t="s">
        <v>325</v>
      </c>
      <c r="J28" s="10" t="s">
        <v>326</v>
      </c>
      <c r="K28" s="10"/>
      <c r="L28" s="10"/>
      <c r="M28" s="10"/>
      <c r="N28" s="10" t="s">
        <v>10</v>
      </c>
      <c r="O28" s="10" t="s">
        <v>327</v>
      </c>
      <c r="P28" s="10" t="s">
        <v>81</v>
      </c>
      <c r="Q28" s="10" t="s">
        <v>82</v>
      </c>
      <c r="R28" s="10" t="s">
        <v>328</v>
      </c>
      <c r="S28" s="11" t="s">
        <v>329</v>
      </c>
      <c r="T28" s="10" t="s">
        <v>330</v>
      </c>
    </row>
    <row r="29" customFormat="false" ht="23.85" hidden="false" customHeight="false" outlineLevel="0" collapsed="false">
      <c r="A29" s="10" t="s">
        <v>331</v>
      </c>
      <c r="B29" s="10" t="s">
        <v>61</v>
      </c>
      <c r="C29" s="10" t="s">
        <v>233</v>
      </c>
      <c r="D29" s="10" t="s">
        <v>234</v>
      </c>
      <c r="E29" s="10"/>
      <c r="F29" s="10" t="s">
        <v>217</v>
      </c>
      <c r="G29" s="10" t="s">
        <v>134</v>
      </c>
      <c r="H29" s="10" t="s">
        <v>332</v>
      </c>
      <c r="I29" s="10" t="s">
        <v>276</v>
      </c>
      <c r="J29" s="10" t="s">
        <v>333</v>
      </c>
      <c r="K29" s="10"/>
      <c r="L29" s="10"/>
      <c r="M29" s="10"/>
      <c r="N29" s="10" t="s">
        <v>12</v>
      </c>
      <c r="O29" s="10" t="s">
        <v>334</v>
      </c>
      <c r="P29" s="10" t="s">
        <v>70</v>
      </c>
      <c r="Q29" s="10" t="s">
        <v>335</v>
      </c>
      <c r="R29" s="10" t="s">
        <v>336</v>
      </c>
      <c r="S29" s="11" t="s">
        <v>337</v>
      </c>
      <c r="T29" s="10" t="s">
        <v>338</v>
      </c>
    </row>
    <row r="30" customFormat="false" ht="23.85" hidden="false" customHeight="false" outlineLevel="0" collapsed="false">
      <c r="A30" s="10" t="s">
        <v>339</v>
      </c>
      <c r="B30" s="10" t="s">
        <v>61</v>
      </c>
      <c r="C30" s="10" t="s">
        <v>233</v>
      </c>
      <c r="D30" s="10" t="s">
        <v>234</v>
      </c>
      <c r="E30" s="10"/>
      <c r="F30" s="10" t="s">
        <v>217</v>
      </c>
      <c r="G30" s="10" t="s">
        <v>134</v>
      </c>
      <c r="H30" s="10" t="s">
        <v>340</v>
      </c>
      <c r="I30" s="10" t="s">
        <v>276</v>
      </c>
      <c r="J30" s="10" t="s">
        <v>341</v>
      </c>
      <c r="K30" s="10"/>
      <c r="L30" s="10"/>
      <c r="M30" s="10"/>
      <c r="N30" s="10" t="s">
        <v>12</v>
      </c>
      <c r="O30" s="10" t="s">
        <v>334</v>
      </c>
      <c r="P30" s="10" t="s">
        <v>70</v>
      </c>
      <c r="Q30" s="10" t="s">
        <v>342</v>
      </c>
      <c r="R30" s="10" t="s">
        <v>343</v>
      </c>
      <c r="S30" s="11" t="s">
        <v>344</v>
      </c>
      <c r="T30" s="10" t="s">
        <v>345</v>
      </c>
    </row>
    <row r="31" customFormat="false" ht="15" hidden="false" customHeight="false" outlineLevel="0" collapsed="false">
      <c r="A31" s="10" t="s">
        <v>346</v>
      </c>
      <c r="B31" s="10" t="s">
        <v>61</v>
      </c>
      <c r="C31" s="10" t="s">
        <v>233</v>
      </c>
      <c r="D31" s="10" t="s">
        <v>234</v>
      </c>
      <c r="E31" s="10"/>
      <c r="F31" s="10" t="s">
        <v>217</v>
      </c>
      <c r="G31" s="10" t="s">
        <v>134</v>
      </c>
      <c r="H31" s="10" t="s">
        <v>347</v>
      </c>
      <c r="I31" s="10" t="s">
        <v>348</v>
      </c>
      <c r="J31" s="10" t="s">
        <v>349</v>
      </c>
      <c r="K31" s="10"/>
      <c r="L31" s="10"/>
      <c r="M31" s="10"/>
      <c r="N31" s="10" t="s">
        <v>12</v>
      </c>
      <c r="O31" s="10" t="s">
        <v>350</v>
      </c>
      <c r="P31" s="10" t="s">
        <v>70</v>
      </c>
      <c r="Q31" s="10" t="s">
        <v>335</v>
      </c>
      <c r="R31" s="10" t="s">
        <v>351</v>
      </c>
      <c r="S31" s="11" t="s">
        <v>352</v>
      </c>
      <c r="T31" s="10"/>
    </row>
    <row r="32" customFormat="false" ht="23.85" hidden="false" customHeight="false" outlineLevel="0" collapsed="false">
      <c r="A32" s="10" t="s">
        <v>353</v>
      </c>
      <c r="B32" s="10" t="s">
        <v>61</v>
      </c>
      <c r="C32" s="10" t="s">
        <v>233</v>
      </c>
      <c r="D32" s="10" t="s">
        <v>234</v>
      </c>
      <c r="E32" s="10"/>
      <c r="F32" s="10" t="s">
        <v>217</v>
      </c>
      <c r="G32" s="10" t="s">
        <v>134</v>
      </c>
      <c r="H32" s="10" t="s">
        <v>354</v>
      </c>
      <c r="I32" s="10" t="s">
        <v>355</v>
      </c>
      <c r="J32" s="10" t="s">
        <v>356</v>
      </c>
      <c r="K32" s="10"/>
      <c r="L32" s="10"/>
      <c r="M32" s="10"/>
      <c r="N32" s="10" t="s">
        <v>10</v>
      </c>
      <c r="O32" s="10" t="s">
        <v>357</v>
      </c>
      <c r="P32" s="10" t="s">
        <v>70</v>
      </c>
      <c r="Q32" s="10" t="s">
        <v>82</v>
      </c>
      <c r="R32" s="10" t="s">
        <v>358</v>
      </c>
      <c r="S32" s="11" t="s">
        <v>359</v>
      </c>
      <c r="T32" s="10" t="s">
        <v>360</v>
      </c>
    </row>
    <row r="33" customFormat="false" ht="23.85" hidden="false" customHeight="false" outlineLevel="0" collapsed="false">
      <c r="A33" s="10" t="s">
        <v>361</v>
      </c>
      <c r="B33" s="10" t="s">
        <v>61</v>
      </c>
      <c r="C33" s="10" t="s">
        <v>62</v>
      </c>
      <c r="D33" s="10" t="s">
        <v>63</v>
      </c>
      <c r="E33" s="10"/>
      <c r="F33" s="10" t="s">
        <v>217</v>
      </c>
      <c r="G33" s="10" t="s">
        <v>134</v>
      </c>
      <c r="H33" s="10" t="s">
        <v>362</v>
      </c>
      <c r="I33" s="10" t="s">
        <v>363</v>
      </c>
      <c r="J33" s="10" t="s">
        <v>364</v>
      </c>
      <c r="K33" s="10"/>
      <c r="L33" s="10"/>
      <c r="M33" s="10"/>
      <c r="N33" s="10" t="s">
        <v>10</v>
      </c>
      <c r="O33" s="10" t="s">
        <v>365</v>
      </c>
      <c r="P33" s="10" t="s">
        <v>70</v>
      </c>
      <c r="Q33" s="10" t="s">
        <v>366</v>
      </c>
      <c r="R33" s="10" t="s">
        <v>367</v>
      </c>
      <c r="S33" s="11" t="s">
        <v>368</v>
      </c>
      <c r="T33" s="10" t="s">
        <v>369</v>
      </c>
    </row>
    <row r="34" customFormat="false" ht="23.85" hidden="false" customHeight="false" outlineLevel="0" collapsed="false">
      <c r="A34" s="10" t="s">
        <v>370</v>
      </c>
      <c r="B34" s="10" t="s">
        <v>61</v>
      </c>
      <c r="C34" s="10" t="s">
        <v>62</v>
      </c>
      <c r="D34" s="10" t="s">
        <v>63</v>
      </c>
      <c r="E34" s="10" t="s">
        <v>274</v>
      </c>
      <c r="F34" s="10" t="s">
        <v>76</v>
      </c>
      <c r="G34" s="10" t="s">
        <v>91</v>
      </c>
      <c r="H34" s="10" t="s">
        <v>371</v>
      </c>
      <c r="I34" s="10" t="s">
        <v>372</v>
      </c>
      <c r="J34" s="10" t="s">
        <v>373</v>
      </c>
      <c r="K34" s="10"/>
      <c r="L34" s="10"/>
      <c r="M34" s="10"/>
      <c r="N34" s="10" t="s">
        <v>12</v>
      </c>
      <c r="O34" s="10" t="s">
        <v>374</v>
      </c>
      <c r="P34" s="10" t="s">
        <v>81</v>
      </c>
      <c r="Q34" s="10" t="s">
        <v>375</v>
      </c>
      <c r="R34" s="10" t="s">
        <v>376</v>
      </c>
      <c r="S34" s="11" t="s">
        <v>377</v>
      </c>
      <c r="T34" s="10" t="s">
        <v>378</v>
      </c>
    </row>
    <row r="35" customFormat="false" ht="23.85" hidden="false" customHeight="false" outlineLevel="0" collapsed="false">
      <c r="A35" s="10" t="s">
        <v>379</v>
      </c>
      <c r="B35" s="10" t="s">
        <v>61</v>
      </c>
      <c r="C35" s="10" t="s">
        <v>62</v>
      </c>
      <c r="D35" s="10" t="s">
        <v>63</v>
      </c>
      <c r="E35" s="10" t="s">
        <v>274</v>
      </c>
      <c r="F35" s="10" t="s">
        <v>76</v>
      </c>
      <c r="G35" s="10" t="s">
        <v>91</v>
      </c>
      <c r="H35" s="10" t="s">
        <v>380</v>
      </c>
      <c r="I35" s="10" t="s">
        <v>381</v>
      </c>
      <c r="J35" s="10" t="s">
        <v>382</v>
      </c>
      <c r="K35" s="10"/>
      <c r="L35" s="10"/>
      <c r="M35" s="10"/>
      <c r="N35" s="10" t="s">
        <v>12</v>
      </c>
      <c r="O35" s="10" t="s">
        <v>383</v>
      </c>
      <c r="P35" s="10" t="s">
        <v>181</v>
      </c>
      <c r="Q35" s="10" t="s">
        <v>117</v>
      </c>
      <c r="R35" s="10" t="s">
        <v>384</v>
      </c>
      <c r="S35" s="11" t="s">
        <v>385</v>
      </c>
      <c r="T35" s="10" t="s">
        <v>386</v>
      </c>
    </row>
    <row r="36" customFormat="false" ht="23.85" hidden="false" customHeight="false" outlineLevel="0" collapsed="false">
      <c r="A36" s="10" t="s">
        <v>387</v>
      </c>
      <c r="B36" s="10" t="s">
        <v>61</v>
      </c>
      <c r="C36" s="10" t="s">
        <v>233</v>
      </c>
      <c r="D36" s="10" t="s">
        <v>234</v>
      </c>
      <c r="E36" s="10" t="s">
        <v>274</v>
      </c>
      <c r="F36" s="10" t="s">
        <v>176</v>
      </c>
      <c r="G36" s="10" t="s">
        <v>65</v>
      </c>
      <c r="H36" s="10" t="s">
        <v>388</v>
      </c>
      <c r="I36" s="10" t="s">
        <v>389</v>
      </c>
      <c r="J36" s="10" t="s">
        <v>390</v>
      </c>
      <c r="K36" s="10"/>
      <c r="L36" s="10"/>
      <c r="M36" s="10"/>
      <c r="N36" s="10" t="s">
        <v>14</v>
      </c>
      <c r="O36" s="10" t="s">
        <v>391</v>
      </c>
      <c r="P36" s="10" t="s">
        <v>96</v>
      </c>
      <c r="Q36" s="10" t="s">
        <v>256</v>
      </c>
      <c r="R36" s="10" t="s">
        <v>392</v>
      </c>
      <c r="S36" s="11" t="s">
        <v>393</v>
      </c>
      <c r="T36" s="10" t="s">
        <v>938</v>
      </c>
    </row>
    <row r="37" customFormat="false" ht="23.85" hidden="false" customHeight="false" outlineLevel="0" collapsed="false">
      <c r="A37" s="10" t="s">
        <v>394</v>
      </c>
      <c r="B37" s="10" t="s">
        <v>61</v>
      </c>
      <c r="C37" s="10" t="s">
        <v>187</v>
      </c>
      <c r="D37" s="10" t="s">
        <v>188</v>
      </c>
      <c r="E37" s="10" t="s">
        <v>263</v>
      </c>
      <c r="F37" s="10" t="s">
        <v>395</v>
      </c>
      <c r="G37" s="10" t="s">
        <v>134</v>
      </c>
      <c r="H37" s="10" t="s">
        <v>396</v>
      </c>
      <c r="I37" s="10" t="s">
        <v>276</v>
      </c>
      <c r="J37" s="10" t="s">
        <v>397</v>
      </c>
      <c r="K37" s="10"/>
      <c r="L37" s="10"/>
      <c r="M37" s="10"/>
      <c r="N37" s="10" t="s">
        <v>14</v>
      </c>
      <c r="O37" s="10" t="s">
        <v>398</v>
      </c>
      <c r="P37" s="10" t="s">
        <v>70</v>
      </c>
      <c r="Q37" s="10" t="s">
        <v>939</v>
      </c>
      <c r="R37" s="10" t="s">
        <v>400</v>
      </c>
      <c r="S37" s="11" t="s">
        <v>401</v>
      </c>
      <c r="T37" s="10" t="s">
        <v>402</v>
      </c>
    </row>
    <row r="38" customFormat="false" ht="23.85" hidden="false" customHeight="false" outlineLevel="0" collapsed="false">
      <c r="A38" s="10" t="s">
        <v>403</v>
      </c>
      <c r="B38" s="10" t="s">
        <v>404</v>
      </c>
      <c r="C38" s="10" t="s">
        <v>87</v>
      </c>
      <c r="D38" s="10" t="s">
        <v>88</v>
      </c>
      <c r="E38" s="10" t="s">
        <v>89</v>
      </c>
      <c r="F38" s="10" t="s">
        <v>90</v>
      </c>
      <c r="G38" s="10" t="s">
        <v>91</v>
      </c>
      <c r="H38" s="10" t="s">
        <v>405</v>
      </c>
      <c r="I38" s="10" t="s">
        <v>406</v>
      </c>
      <c r="J38" s="10" t="s">
        <v>407</v>
      </c>
      <c r="K38" s="10" t="s">
        <v>408</v>
      </c>
      <c r="L38" s="10" t="s">
        <v>409</v>
      </c>
      <c r="M38" s="10" t="s">
        <v>410</v>
      </c>
      <c r="N38" s="10" t="s">
        <v>10</v>
      </c>
      <c r="O38" s="10" t="s">
        <v>411</v>
      </c>
      <c r="P38" s="10" t="s">
        <v>412</v>
      </c>
      <c r="Q38" s="10" t="s">
        <v>202</v>
      </c>
      <c r="R38" s="10" t="s">
        <v>413</v>
      </c>
      <c r="S38" s="11" t="s">
        <v>414</v>
      </c>
      <c r="T38" s="10" t="s">
        <v>415</v>
      </c>
    </row>
    <row r="39" customFormat="false" ht="23.85" hidden="false" customHeight="false" outlineLevel="0" collapsed="false">
      <c r="A39" s="10" t="s">
        <v>416</v>
      </c>
      <c r="B39" s="10" t="s">
        <v>404</v>
      </c>
      <c r="C39" s="10" t="s">
        <v>87</v>
      </c>
      <c r="D39" s="10" t="s">
        <v>88</v>
      </c>
      <c r="E39" s="10" t="s">
        <v>89</v>
      </c>
      <c r="F39" s="10" t="s">
        <v>90</v>
      </c>
      <c r="G39" s="10" t="s">
        <v>91</v>
      </c>
      <c r="H39" s="10" t="s">
        <v>417</v>
      </c>
      <c r="I39" s="10" t="s">
        <v>406</v>
      </c>
      <c r="J39" s="10" t="s">
        <v>418</v>
      </c>
      <c r="K39" s="10" t="s">
        <v>419</v>
      </c>
      <c r="L39" s="10" t="s">
        <v>420</v>
      </c>
      <c r="M39" s="10" t="s">
        <v>421</v>
      </c>
      <c r="N39" s="10" t="s">
        <v>10</v>
      </c>
      <c r="O39" s="10" t="s">
        <v>422</v>
      </c>
      <c r="P39" s="10" t="s">
        <v>423</v>
      </c>
      <c r="Q39" s="10" t="s">
        <v>399</v>
      </c>
      <c r="R39" s="10" t="inlineStr">
        <is>
          <t xml:space="preserve">Ullah et al. (2025), Lancet Psychiatry (ROSHNI-2 economic evaluation)</t>
        </is>
      </c>
      <c r="S39" s="11" t="inlineStr">
        <is>
          <t xml:space="preserve">https://doi.org/10.1016/S2215-0366(25)00039-2</t>
        </is>
      </c>
      <c r="T39" s="10" t="s">
        <v>426</v>
      </c>
    </row>
    <row r="40" customFormat="false" ht="23.85" hidden="false" customHeight="false" outlineLevel="0" collapsed="false">
      <c r="A40" s="10" t="s">
        <v>427</v>
      </c>
      <c r="B40" s="10" t="s">
        <v>404</v>
      </c>
      <c r="C40" s="10" t="s">
        <v>87</v>
      </c>
      <c r="D40" s="10" t="s">
        <v>88</v>
      </c>
      <c r="E40" s="10" t="s">
        <v>89</v>
      </c>
      <c r="F40" s="10" t="s">
        <v>90</v>
      </c>
      <c r="G40" s="10" t="s">
        <v>91</v>
      </c>
      <c r="H40" s="10" t="s">
        <v>428</v>
      </c>
      <c r="I40" s="10" t="s">
        <v>429</v>
      </c>
      <c r="J40" s="10" t="s">
        <v>430</v>
      </c>
      <c r="K40" s="10" t="s">
        <v>419</v>
      </c>
      <c r="L40" s="10" t="s">
        <v>431</v>
      </c>
      <c r="M40" s="10" t="s">
        <v>421</v>
      </c>
      <c r="N40" s="10" t="s">
        <v>10</v>
      </c>
      <c r="O40" s="10" t="s">
        <v>432</v>
      </c>
      <c r="P40" s="10" t="s">
        <v>433</v>
      </c>
      <c r="Q40" s="10" t="s">
        <v>202</v>
      </c>
      <c r="R40" s="10" t="s">
        <v>434</v>
      </c>
      <c r="S40" s="11" t="s">
        <v>435</v>
      </c>
      <c r="T40" s="10" t="s">
        <v>436</v>
      </c>
    </row>
    <row r="41" customFormat="false" ht="23.85" hidden="false" customHeight="false" outlineLevel="0" collapsed="false">
      <c r="A41" s="10" t="s">
        <v>437</v>
      </c>
      <c r="B41" s="10" t="s">
        <v>404</v>
      </c>
      <c r="C41" s="10" t="s">
        <v>87</v>
      </c>
      <c r="D41" s="10" t="s">
        <v>88</v>
      </c>
      <c r="E41" s="10" t="s">
        <v>89</v>
      </c>
      <c r="F41" s="10" t="s">
        <v>90</v>
      </c>
      <c r="G41" s="10" t="s">
        <v>91</v>
      </c>
      <c r="H41" s="10" t="s">
        <v>438</v>
      </c>
      <c r="I41" s="10" t="s">
        <v>406</v>
      </c>
      <c r="J41" s="10" t="s">
        <v>439</v>
      </c>
      <c r="K41" s="10" t="s">
        <v>408</v>
      </c>
      <c r="L41" s="10" t="s">
        <v>431</v>
      </c>
      <c r="M41" s="10" t="s">
        <v>440</v>
      </c>
      <c r="N41" s="10" t="s">
        <v>10</v>
      </c>
      <c r="O41" s="10" t="s">
        <v>441</v>
      </c>
      <c r="P41" s="10" t="s">
        <v>442</v>
      </c>
      <c r="Q41" s="10" t="s">
        <v>443</v>
      </c>
      <c r="R41" s="10" t="s">
        <v>444</v>
      </c>
      <c r="S41" s="11" t="s">
        <v>445</v>
      </c>
      <c r="T41" s="10" t="s">
        <v>446</v>
      </c>
    </row>
    <row r="42" customFormat="false" ht="23.85" hidden="false" customHeight="false" outlineLevel="0" collapsed="false">
      <c r="A42" s="10" t="s">
        <v>447</v>
      </c>
      <c r="B42" s="10" t="s">
        <v>404</v>
      </c>
      <c r="C42" s="10" t="s">
        <v>132</v>
      </c>
      <c r="D42" s="10" t="s">
        <v>133</v>
      </c>
      <c r="E42" s="10" t="s">
        <v>122</v>
      </c>
      <c r="F42" s="10" t="s">
        <v>90</v>
      </c>
      <c r="G42" s="10" t="s">
        <v>91</v>
      </c>
      <c r="H42" s="10" t="s">
        <v>448</v>
      </c>
      <c r="I42" s="10" t="s">
        <v>449</v>
      </c>
      <c r="J42" s="10" t="s">
        <v>450</v>
      </c>
      <c r="K42" s="10" t="s">
        <v>451</v>
      </c>
      <c r="L42" s="10" t="s">
        <v>452</v>
      </c>
      <c r="M42" s="10"/>
      <c r="N42" s="10" t="s">
        <v>10</v>
      </c>
      <c r="O42" s="10" t="s">
        <v>453</v>
      </c>
      <c r="P42" s="10" t="s">
        <v>81</v>
      </c>
      <c r="Q42" s="10" t="inlineStr">
        <is>
          <t>2013</t>
        </is>
      </c>
      <c r="R42" s="10" t="s">
        <v>455</v>
      </c>
      <c r="S42" s="11" t="s">
        <v>456</v>
      </c>
      <c r="T42" s="10" t="s">
        <v>457</v>
      </c>
    </row>
    <row r="43" customFormat="false" ht="23.85" hidden="false" customHeight="false" outlineLevel="0" collapsed="false">
      <c r="A43" s="10" t="s">
        <v>458</v>
      </c>
      <c r="B43" s="10" t="s">
        <v>404</v>
      </c>
      <c r="C43" s="10" t="s">
        <v>132</v>
      </c>
      <c r="D43" s="10" t="s">
        <v>133</v>
      </c>
      <c r="E43" s="10" t="s">
        <v>165</v>
      </c>
      <c r="F43" s="10" t="s">
        <v>90</v>
      </c>
      <c r="G43" s="10" t="s">
        <v>134</v>
      </c>
      <c r="H43" s="10" t="s">
        <v>459</v>
      </c>
      <c r="I43" s="10" t="s">
        <v>460</v>
      </c>
      <c r="J43" s="10" t="s">
        <v>461</v>
      </c>
      <c r="K43" s="10" t="s">
        <v>419</v>
      </c>
      <c r="L43" s="10" t="s">
        <v>462</v>
      </c>
      <c r="M43" s="10" t="s">
        <v>463</v>
      </c>
      <c r="N43" s="10" t="s">
        <v>10</v>
      </c>
      <c r="O43" s="10" t="s">
        <v>464</v>
      </c>
      <c r="P43" s="10" t="s">
        <v>465</v>
      </c>
      <c r="Q43" s="10" t="s">
        <v>202</v>
      </c>
      <c r="R43" s="10" t="s">
        <v>466</v>
      </c>
      <c r="S43" s="11" t="s">
        <v>467</v>
      </c>
      <c r="T43" s="10" t="s">
        <v>468</v>
      </c>
    </row>
    <row r="44" customFormat="false" ht="23.85" hidden="false" customHeight="false" outlineLevel="0" collapsed="false">
      <c r="A44" s="10" t="s">
        <v>469</v>
      </c>
      <c r="B44" s="10" t="s">
        <v>404</v>
      </c>
      <c r="C44" s="10" t="s">
        <v>132</v>
      </c>
      <c r="D44" s="10" t="s">
        <v>133</v>
      </c>
      <c r="E44" s="10" t="s">
        <v>165</v>
      </c>
      <c r="F44" s="10" t="s">
        <v>64</v>
      </c>
      <c r="G44" s="10" t="s">
        <v>134</v>
      </c>
      <c r="H44" s="10" t="s">
        <v>470</v>
      </c>
      <c r="I44" s="10" t="s">
        <v>471</v>
      </c>
      <c r="J44" s="10" t="inlineStr">
        <is>
          <t xml:space="preserve">£1,177 per participant; public-sector savings 2.8–6.1 times cost; societal savings £16,435 over 25 years; payback 5–8 years</t>
        </is>
      </c>
      <c r="K44" s="10" t="s">
        <v>473</v>
      </c>
      <c r="L44" s="10" t="s">
        <v>462</v>
      </c>
      <c r="M44" s="10" t="s">
        <v>474</v>
      </c>
      <c r="N44" s="10" t="s">
        <v>14</v>
      </c>
      <c r="O44" s="10" t="s">
        <v>126</v>
      </c>
      <c r="P44" s="10" t="s">
        <v>81</v>
      </c>
      <c r="Q44" s="10" t="s">
        <v>475</v>
      </c>
      <c r="R44" s="10" t="s">
        <v>476</v>
      </c>
      <c r="S44" s="11" t="s">
        <v>477</v>
      </c>
      <c r="T44" s="10" t="s">
        <v>478</v>
      </c>
    </row>
    <row r="45" customFormat="false" ht="35.05" hidden="false" customHeight="false" outlineLevel="0" collapsed="false">
      <c r="A45" s="10" t="s">
        <v>479</v>
      </c>
      <c r="B45" s="10" t="s">
        <v>404</v>
      </c>
      <c r="C45" s="10" t="s">
        <v>132</v>
      </c>
      <c r="D45" s="10" t="s">
        <v>133</v>
      </c>
      <c r="E45" s="10" t="s">
        <v>122</v>
      </c>
      <c r="F45" s="10" t="s">
        <v>64</v>
      </c>
      <c r="G45" s="10" t="s">
        <v>65</v>
      </c>
      <c r="H45" s="10" t="s">
        <v>480</v>
      </c>
      <c r="I45" s="10" t="s">
        <v>481</v>
      </c>
      <c r="J45" s="10" t="s">
        <v>482</v>
      </c>
      <c r="K45" s="10" t="s">
        <v>473</v>
      </c>
      <c r="L45" s="10" t="s">
        <v>483</v>
      </c>
      <c r="M45" s="10" t="s">
        <v>484</v>
      </c>
      <c r="N45" s="10" t="s">
        <v>12</v>
      </c>
      <c r="O45" s="10" t="s">
        <v>485</v>
      </c>
      <c r="P45" s="10" t="s">
        <v>81</v>
      </c>
      <c r="Q45" s="10" t="s">
        <v>256</v>
      </c>
      <c r="R45" s="10" t="s">
        <v>486</v>
      </c>
      <c r="S45" s="11" t="s">
        <v>487</v>
      </c>
      <c r="T45" s="10" t="s">
        <v>488</v>
      </c>
    </row>
    <row r="46" customFormat="false" ht="23.85" hidden="false" customHeight="false" outlineLevel="0" collapsed="false">
      <c r="A46" s="10" t="s">
        <v>489</v>
      </c>
      <c r="B46" s="10" t="s">
        <v>404</v>
      </c>
      <c r="C46" s="10" t="s">
        <v>132</v>
      </c>
      <c r="D46" s="10" t="s">
        <v>133</v>
      </c>
      <c r="E46" s="10" t="s">
        <v>111</v>
      </c>
      <c r="F46" s="10" t="s">
        <v>90</v>
      </c>
      <c r="G46" s="10" t="s">
        <v>91</v>
      </c>
      <c r="H46" s="10" t="s">
        <v>490</v>
      </c>
      <c r="I46" s="10" t="s">
        <v>491</v>
      </c>
      <c r="J46" s="10" t="s">
        <v>492</v>
      </c>
      <c r="K46" s="10" t="s">
        <v>493</v>
      </c>
      <c r="L46" s="10" t="s">
        <v>420</v>
      </c>
      <c r="M46" s="10"/>
      <c r="N46" s="10" t="s">
        <v>10</v>
      </c>
      <c r="O46" s="10" t="s">
        <v>494</v>
      </c>
      <c r="P46" s="10" t="s">
        <v>96</v>
      </c>
      <c r="Q46" s="10" t="s">
        <v>495</v>
      </c>
      <c r="R46" s="10" t="s">
        <v>496</v>
      </c>
      <c r="S46" s="11" t="s">
        <v>497</v>
      </c>
      <c r="T46" s="10" t="s">
        <v>498</v>
      </c>
    </row>
    <row r="47" customFormat="false" ht="23.85" hidden="false" customHeight="false" outlineLevel="0" collapsed="false">
      <c r="A47" s="10" t="s">
        <v>499</v>
      </c>
      <c r="B47" s="10" t="s">
        <v>404</v>
      </c>
      <c r="C47" s="10" t="s">
        <v>163</v>
      </c>
      <c r="D47" s="10" t="s">
        <v>164</v>
      </c>
      <c r="E47" s="10" t="s">
        <v>165</v>
      </c>
      <c r="F47" s="10" t="s">
        <v>153</v>
      </c>
      <c r="G47" s="10" t="s">
        <v>91</v>
      </c>
      <c r="H47" s="10" t="s">
        <v>500</v>
      </c>
      <c r="I47" s="10" t="s">
        <v>501</v>
      </c>
      <c r="J47" s="10" t="s">
        <v>502</v>
      </c>
      <c r="K47" s="10" t="s">
        <v>473</v>
      </c>
      <c r="L47" s="10" t="s">
        <v>503</v>
      </c>
      <c r="M47" s="10" t="s">
        <v>504</v>
      </c>
      <c r="N47" s="10" t="s">
        <v>14</v>
      </c>
      <c r="O47" s="10" t="s">
        <v>126</v>
      </c>
      <c r="P47" s="10" t="s">
        <v>81</v>
      </c>
      <c r="Q47" s="10" t="s">
        <v>106</v>
      </c>
      <c r="R47" s="10" t="s">
        <v>505</v>
      </c>
      <c r="S47" s="11" t="s">
        <v>506</v>
      </c>
      <c r="T47" s="10" t="s">
        <v>507</v>
      </c>
    </row>
    <row r="48" customFormat="false" ht="23.85" hidden="false" customHeight="false" outlineLevel="0" collapsed="false">
      <c r="A48" s="10" t="s">
        <v>508</v>
      </c>
      <c r="B48" s="10" t="s">
        <v>404</v>
      </c>
      <c r="C48" s="10" t="s">
        <v>163</v>
      </c>
      <c r="D48" s="10" t="s">
        <v>164</v>
      </c>
      <c r="E48" s="10" t="s">
        <v>165</v>
      </c>
      <c r="F48" s="10" t="s">
        <v>153</v>
      </c>
      <c r="G48" s="10" t="s">
        <v>134</v>
      </c>
      <c r="H48" s="10" t="s">
        <v>509</v>
      </c>
      <c r="I48" s="10" t="s">
        <v>501</v>
      </c>
      <c r="J48" s="10" t="s">
        <v>510</v>
      </c>
      <c r="K48" s="10" t="s">
        <v>473</v>
      </c>
      <c r="L48" s="10" t="s">
        <v>503</v>
      </c>
      <c r="M48" s="10" t="s">
        <v>511</v>
      </c>
      <c r="N48" s="10" t="s">
        <v>14</v>
      </c>
      <c r="O48" s="10" t="s">
        <v>126</v>
      </c>
      <c r="P48" s="10" t="s">
        <v>512</v>
      </c>
      <c r="Q48" s="10" t="s">
        <v>106</v>
      </c>
      <c r="R48" s="10" t="s">
        <v>505</v>
      </c>
      <c r="S48" s="11" t="s">
        <v>506</v>
      </c>
      <c r="T48" s="10" t="s">
        <v>513</v>
      </c>
    </row>
    <row r="49" customFormat="false" ht="23.85" hidden="false" customHeight="false" outlineLevel="0" collapsed="false">
      <c r="A49" s="10" t="s">
        <v>514</v>
      </c>
      <c r="B49" s="10" t="s">
        <v>404</v>
      </c>
      <c r="C49" s="10" t="s">
        <v>163</v>
      </c>
      <c r="D49" s="10" t="s">
        <v>164</v>
      </c>
      <c r="E49" s="10" t="s">
        <v>165</v>
      </c>
      <c r="F49" s="10" t="s">
        <v>395</v>
      </c>
      <c r="G49" s="10" t="s">
        <v>134</v>
      </c>
      <c r="H49" s="10" t="s">
        <v>515</v>
      </c>
      <c r="I49" s="10" t="s">
        <v>516</v>
      </c>
      <c r="J49" s="10" t="s">
        <v>517</v>
      </c>
      <c r="K49" s="10" t="s">
        <v>518</v>
      </c>
      <c r="L49" s="10" t="s">
        <v>503</v>
      </c>
      <c r="M49" s="10" t="s">
        <v>519</v>
      </c>
      <c r="N49" s="10" t="s">
        <v>12</v>
      </c>
      <c r="O49" s="10" t="s">
        <v>520</v>
      </c>
      <c r="P49" s="10" t="s">
        <v>521</v>
      </c>
      <c r="Q49" s="10" t="s">
        <v>117</v>
      </c>
      <c r="R49" s="10" t="s">
        <v>522</v>
      </c>
      <c r="S49" s="11" t="s">
        <v>523</v>
      </c>
      <c r="T49" s="10" t="s">
        <v>524</v>
      </c>
    </row>
    <row r="50" customFormat="false" ht="23.85" hidden="false" customHeight="false" outlineLevel="0" collapsed="false">
      <c r="A50" s="10" t="s">
        <v>525</v>
      </c>
      <c r="B50" s="10" t="s">
        <v>404</v>
      </c>
      <c r="C50" s="10" t="s">
        <v>187</v>
      </c>
      <c r="D50" s="10" t="s">
        <v>188</v>
      </c>
      <c r="E50" s="10" t="s">
        <v>263</v>
      </c>
      <c r="F50" s="10" t="s">
        <v>395</v>
      </c>
      <c r="G50" s="10" t="s">
        <v>134</v>
      </c>
      <c r="H50" s="10" t="s">
        <v>526</v>
      </c>
      <c r="I50" s="10" t="s">
        <v>516</v>
      </c>
      <c r="J50" s="10" t="s">
        <v>527</v>
      </c>
      <c r="K50" s="10" t="s">
        <v>528</v>
      </c>
      <c r="L50" s="10" t="s">
        <v>529</v>
      </c>
      <c r="M50" s="10" t="s">
        <v>519</v>
      </c>
      <c r="N50" s="10" t="s">
        <v>12</v>
      </c>
      <c r="O50" s="10" t="s">
        <v>520</v>
      </c>
      <c r="P50" s="10" t="s">
        <v>521</v>
      </c>
      <c r="Q50" s="10" t="s">
        <v>117</v>
      </c>
      <c r="R50" s="10" t="s">
        <v>530</v>
      </c>
      <c r="S50" s="11" t="s">
        <v>531</v>
      </c>
      <c r="T50" s="10" t="s">
        <v>532</v>
      </c>
    </row>
    <row r="51" customFormat="false" ht="23.85" hidden="false" customHeight="false" outlineLevel="0" collapsed="false">
      <c r="A51" s="10" t="s">
        <v>533</v>
      </c>
      <c r="B51" s="10" t="s">
        <v>404</v>
      </c>
      <c r="C51" s="10" t="s">
        <v>187</v>
      </c>
      <c r="D51" s="10" t="s">
        <v>188</v>
      </c>
      <c r="E51" s="10" t="s">
        <v>263</v>
      </c>
      <c r="F51" s="10" t="s">
        <v>395</v>
      </c>
      <c r="G51" s="10" t="s">
        <v>134</v>
      </c>
      <c r="H51" s="10" t="s">
        <v>534</v>
      </c>
      <c r="I51" s="10" t="s">
        <v>535</v>
      </c>
      <c r="J51" s="10" t="s">
        <v>536</v>
      </c>
      <c r="K51" s="10" t="s">
        <v>528</v>
      </c>
      <c r="L51" s="10" t="s">
        <v>537</v>
      </c>
      <c r="M51" s="10" t="s">
        <v>519</v>
      </c>
      <c r="N51" s="10" t="s">
        <v>12</v>
      </c>
      <c r="O51" s="10" t="s">
        <v>520</v>
      </c>
      <c r="P51" s="10" t="s">
        <v>538</v>
      </c>
      <c r="Q51" s="10" t="s">
        <v>539</v>
      </c>
      <c r="R51" s="10" t="s">
        <v>540</v>
      </c>
      <c r="S51" s="11" t="s">
        <v>541</v>
      </c>
      <c r="T51" s="10"/>
    </row>
    <row r="52" customFormat="false" ht="23.85" hidden="false" customHeight="false" outlineLevel="0" collapsed="false">
      <c r="A52" s="10" t="s">
        <v>542</v>
      </c>
      <c r="B52" s="10" t="s">
        <v>404</v>
      </c>
      <c r="C52" s="10" t="s">
        <v>187</v>
      </c>
      <c r="D52" s="10" t="s">
        <v>188</v>
      </c>
      <c r="E52" s="10" t="s">
        <v>263</v>
      </c>
      <c r="F52" s="10" t="s">
        <v>395</v>
      </c>
      <c r="G52" s="10" t="s">
        <v>134</v>
      </c>
      <c r="H52" s="10" t="s">
        <v>543</v>
      </c>
      <c r="I52" s="10" t="s">
        <v>516</v>
      </c>
      <c r="J52" s="10" t="s">
        <v>544</v>
      </c>
      <c r="K52" s="10" t="s">
        <v>528</v>
      </c>
      <c r="L52" s="10" t="s">
        <v>545</v>
      </c>
      <c r="M52" s="10" t="s">
        <v>546</v>
      </c>
      <c r="N52" s="10" t="s">
        <v>12</v>
      </c>
      <c r="O52" s="10" t="s">
        <v>547</v>
      </c>
      <c r="P52" s="10" t="s">
        <v>538</v>
      </c>
      <c r="Q52" s="10" t="s">
        <v>117</v>
      </c>
      <c r="R52" s="10" t="s">
        <v>548</v>
      </c>
      <c r="S52" s="11" t="s">
        <v>549</v>
      </c>
      <c r="T52" s="10" t="s">
        <v>550</v>
      </c>
    </row>
    <row r="53" customFormat="false" ht="23.85" hidden="false" customHeight="false" outlineLevel="0" collapsed="false">
      <c r="A53" s="10" t="s">
        <v>551</v>
      </c>
      <c r="B53" s="10" t="s">
        <v>404</v>
      </c>
      <c r="C53" s="10" t="s">
        <v>187</v>
      </c>
      <c r="D53" s="10" t="s">
        <v>188</v>
      </c>
      <c r="E53" s="10" t="s">
        <v>263</v>
      </c>
      <c r="F53" s="10" t="s">
        <v>90</v>
      </c>
      <c r="G53" s="10" t="s">
        <v>134</v>
      </c>
      <c r="H53" s="10" t="s">
        <v>552</v>
      </c>
      <c r="I53" s="10" t="s">
        <v>516</v>
      </c>
      <c r="J53" s="10" t="s">
        <v>553</v>
      </c>
      <c r="K53" s="10" t="s">
        <v>493</v>
      </c>
      <c r="L53" s="10" t="s">
        <v>420</v>
      </c>
      <c r="M53" s="10" t="s">
        <v>519</v>
      </c>
      <c r="N53" s="10" t="s">
        <v>14</v>
      </c>
      <c r="O53" s="10" t="s">
        <v>554</v>
      </c>
      <c r="P53" s="10" t="s">
        <v>521</v>
      </c>
      <c r="Q53" s="10" t="s">
        <v>117</v>
      </c>
      <c r="R53" s="10" t="s">
        <v>555</v>
      </c>
      <c r="S53" s="11" t="s">
        <v>556</v>
      </c>
      <c r="T53" s="10"/>
    </row>
    <row r="54" customFormat="false" ht="23.85" hidden="false" customHeight="false" outlineLevel="0" collapsed="false">
      <c r="A54" s="10" t="s">
        <v>557</v>
      </c>
      <c r="B54" s="10" t="s">
        <v>404</v>
      </c>
      <c r="C54" s="10" t="s">
        <v>187</v>
      </c>
      <c r="D54" s="10" t="s">
        <v>188</v>
      </c>
      <c r="E54" s="10" t="s">
        <v>263</v>
      </c>
      <c r="F54" s="10" t="s">
        <v>217</v>
      </c>
      <c r="G54" s="10" t="s">
        <v>134</v>
      </c>
      <c r="H54" s="10" t="inlineStr">
        <is>
          <t xml:space="preserve">Formal pre-court diversion</t>
        </is>
      </c>
      <c r="I54" s="10" t="inlineStr">
        <is>
          <t xml:space="preserve">Effect on reoffending and violence</t>
        </is>
      </c>
      <c r="J54" s="10" t="inlineStr">
        <is>
          <t xml:space="preserve">−14% reoffending (moderate confidence, 35 studies); −25% violence (low confidence, 5 studies); UK average cost £1,426 per child</t>
        </is>
      </c>
      <c r="K54" s="10" t="inlineStr">
        <is>
          <t xml:space="preserve">Effective, cost unclear</t>
        </is>
      </c>
      <c r="L54" s="10" t="s">
        <v>561</v>
      </c>
      <c r="M54" s="10" t="s">
        <v>562</v>
      </c>
      <c r="N54" s="10" t="s">
        <v>12</v>
      </c>
      <c r="O54" s="10" t="s">
        <v>520</v>
      </c>
      <c r="P54" s="10" t="inlineStr">
        <is>
          <t xml:space="preserve">Mostly North America and Australia; UK costs</t>
        </is>
      </c>
      <c r="Q54" s="10" t="inlineStr">
        <is>
          <t xml:space="preserve">not stated</t>
        </is>
      </c>
      <c r="R54" s="10" t="inlineStr">
        <is>
          <t xml:space="preserve">Youth Endowment Fund Toolkit, Formal pre-court diversion</t>
        </is>
      </c>
      <c r="S54" s="11" t="inlineStr">
        <is>
          <t xml:space="preserve">https://youthendowmentfund.org.uk/toolkit/formal-pre-court-diversion/</t>
        </is>
      </c>
      <c r="T54" s="10" t="inlineStr">
        <is>
          <t xml:space="preserve">Replaces YEF's earlier pre-court diversion strand (−13% reoffending, high confidence, low cost). Informal pre-court diversion is now a separate strand.</t>
        </is>
      </c>
    </row>
    <row r="55" customFormat="false" ht="23.85" hidden="false" customHeight="false" outlineLevel="0" collapsed="false">
      <c r="A55" s="10" t="s">
        <v>566</v>
      </c>
      <c r="B55" s="10" t="s">
        <v>404</v>
      </c>
      <c r="C55" s="10" t="s">
        <v>187</v>
      </c>
      <c r="D55" s="10" t="s">
        <v>188</v>
      </c>
      <c r="E55" s="10" t="s">
        <v>165</v>
      </c>
      <c r="F55" s="10" t="s">
        <v>76</v>
      </c>
      <c r="G55" s="10" t="s">
        <v>134</v>
      </c>
      <c r="H55" s="10" t="s">
        <v>567</v>
      </c>
      <c r="I55" s="10" t="s">
        <v>568</v>
      </c>
      <c r="J55" s="10" t="s">
        <v>569</v>
      </c>
      <c r="K55" s="10" t="s">
        <v>451</v>
      </c>
      <c r="L55" s="10" t="s">
        <v>570</v>
      </c>
      <c r="M55" s="10"/>
      <c r="N55" s="10" t="s">
        <v>10</v>
      </c>
      <c r="O55" s="10" t="s">
        <v>571</v>
      </c>
      <c r="P55" s="10" t="s">
        <v>81</v>
      </c>
      <c r="Q55" s="10" t="s">
        <v>454</v>
      </c>
      <c r="R55" s="10" t="s">
        <v>572</v>
      </c>
      <c r="S55" s="11" t="s">
        <v>573</v>
      </c>
      <c r="T55" s="10" t="s">
        <v>574</v>
      </c>
    </row>
    <row r="56" customFormat="false" ht="23.85" hidden="false" customHeight="false" outlineLevel="0" collapsed="false">
      <c r="A56" s="10" t="s">
        <v>575</v>
      </c>
      <c r="B56" s="10" t="s">
        <v>404</v>
      </c>
      <c r="C56" s="10" t="s">
        <v>187</v>
      </c>
      <c r="D56" s="10" t="s">
        <v>188</v>
      </c>
      <c r="E56" s="10" t="s">
        <v>165</v>
      </c>
      <c r="F56" s="10" t="s">
        <v>217</v>
      </c>
      <c r="G56" s="10" t="s">
        <v>134</v>
      </c>
      <c r="H56" s="10" t="s">
        <v>576</v>
      </c>
      <c r="I56" s="10" t="s">
        <v>577</v>
      </c>
      <c r="J56" s="10" t="s">
        <v>578</v>
      </c>
      <c r="K56" s="10" t="s">
        <v>451</v>
      </c>
      <c r="L56" s="10" t="s">
        <v>579</v>
      </c>
      <c r="M56" s="10"/>
      <c r="N56" s="10" t="s">
        <v>10</v>
      </c>
      <c r="O56" s="10" t="s">
        <v>580</v>
      </c>
      <c r="P56" s="10" t="s">
        <v>96</v>
      </c>
      <c r="Q56" s="10" t="s">
        <v>117</v>
      </c>
      <c r="R56" s="10" t="s">
        <v>581</v>
      </c>
      <c r="S56" s="11" t="s">
        <v>582</v>
      </c>
      <c r="T56" s="10" t="s">
        <v>583</v>
      </c>
    </row>
    <row r="57" customFormat="false" ht="23.85" hidden="false" customHeight="false" outlineLevel="0" collapsed="false">
      <c r="A57" s="10" t="s">
        <v>584</v>
      </c>
      <c r="B57" s="10" t="s">
        <v>404</v>
      </c>
      <c r="C57" s="10" t="s">
        <v>187</v>
      </c>
      <c r="D57" s="10" t="s">
        <v>188</v>
      </c>
      <c r="E57" s="10" t="s">
        <v>263</v>
      </c>
      <c r="F57" s="10" t="s">
        <v>395</v>
      </c>
      <c r="G57" s="10" t="s">
        <v>134</v>
      </c>
      <c r="H57" s="10" t="s">
        <v>585</v>
      </c>
      <c r="I57" s="10" t="s">
        <v>586</v>
      </c>
      <c r="J57" s="10" t="s">
        <v>587</v>
      </c>
      <c r="K57" s="10" t="s">
        <v>493</v>
      </c>
      <c r="L57" s="10" t="s">
        <v>588</v>
      </c>
      <c r="M57" s="10" t="s">
        <v>589</v>
      </c>
      <c r="N57" s="10" t="s">
        <v>12</v>
      </c>
      <c r="O57" s="10" t="s">
        <v>590</v>
      </c>
      <c r="P57" s="10" t="s">
        <v>70</v>
      </c>
      <c r="Q57" s="10" t="s">
        <v>591</v>
      </c>
      <c r="R57" s="10" t="s">
        <v>592</v>
      </c>
      <c r="S57" s="11" t="s">
        <v>593</v>
      </c>
      <c r="T57" s="10" t="s">
        <v>594</v>
      </c>
    </row>
    <row r="58" customFormat="false" ht="23.85" hidden="false" customHeight="false" outlineLevel="0" collapsed="false">
      <c r="A58" s="10" t="s">
        <v>595</v>
      </c>
      <c r="B58" s="10" t="s">
        <v>404</v>
      </c>
      <c r="C58" s="10" t="s">
        <v>261</v>
      </c>
      <c r="D58" s="10" t="s">
        <v>262</v>
      </c>
      <c r="E58" s="10" t="s">
        <v>111</v>
      </c>
      <c r="F58" s="10" t="s">
        <v>217</v>
      </c>
      <c r="G58" s="10" t="s">
        <v>91</v>
      </c>
      <c r="H58" s="10" t="s">
        <v>596</v>
      </c>
      <c r="I58" s="10" t="s">
        <v>597</v>
      </c>
      <c r="J58" s="10" t="s">
        <v>598</v>
      </c>
      <c r="K58" s="10" t="s">
        <v>528</v>
      </c>
      <c r="L58" s="10" t="s">
        <v>420</v>
      </c>
      <c r="M58" s="10" t="s">
        <v>599</v>
      </c>
      <c r="N58" s="10" t="s">
        <v>12</v>
      </c>
      <c r="O58" s="10" t="s">
        <v>600</v>
      </c>
      <c r="P58" s="10" t="s">
        <v>601</v>
      </c>
      <c r="Q58" s="10" t="s">
        <v>117</v>
      </c>
      <c r="R58" s="10" t="s">
        <v>602</v>
      </c>
      <c r="S58" s="11" t="s">
        <v>603</v>
      </c>
      <c r="T58" s="10" t="s">
        <v>604</v>
      </c>
    </row>
    <row r="59" customFormat="false" ht="23.85" hidden="false" customHeight="false" outlineLevel="0" collapsed="false">
      <c r="A59" s="10" t="s">
        <v>605</v>
      </c>
      <c r="B59" s="10" t="s">
        <v>404</v>
      </c>
      <c r="C59" s="10" t="s">
        <v>261</v>
      </c>
      <c r="D59" s="10" t="s">
        <v>262</v>
      </c>
      <c r="E59" s="10" t="s">
        <v>216</v>
      </c>
      <c r="F59" s="10" t="s">
        <v>217</v>
      </c>
      <c r="G59" s="10" t="s">
        <v>91</v>
      </c>
      <c r="H59" s="10" t="s">
        <v>606</v>
      </c>
      <c r="I59" s="10" t="s">
        <v>607</v>
      </c>
      <c r="J59" s="10" t="s">
        <v>608</v>
      </c>
      <c r="K59" s="10" t="s">
        <v>493</v>
      </c>
      <c r="L59" s="10" t="s">
        <v>609</v>
      </c>
      <c r="M59" s="10" t="s">
        <v>610</v>
      </c>
      <c r="N59" s="10" t="s">
        <v>16</v>
      </c>
      <c r="O59" s="10" t="s">
        <v>611</v>
      </c>
      <c r="P59" s="10" t="s">
        <v>81</v>
      </c>
      <c r="Q59" s="10" t="s">
        <v>202</v>
      </c>
      <c r="R59" s="10" t="s">
        <v>612</v>
      </c>
      <c r="S59" s="11" t="s">
        <v>613</v>
      </c>
      <c r="T59" s="10" t="s">
        <v>614</v>
      </c>
    </row>
    <row r="60" customFormat="false" ht="23.85" hidden="false" customHeight="false" outlineLevel="0" collapsed="false">
      <c r="A60" s="10" t="s">
        <v>615</v>
      </c>
      <c r="B60" s="10" t="s">
        <v>404</v>
      </c>
      <c r="C60" s="10" t="s">
        <v>187</v>
      </c>
      <c r="D60" s="10" t="s">
        <v>188</v>
      </c>
      <c r="E60" s="10" t="s">
        <v>263</v>
      </c>
      <c r="F60" s="10" t="s">
        <v>395</v>
      </c>
      <c r="G60" s="10" t="s">
        <v>65</v>
      </c>
      <c r="H60" s="10" t="s">
        <v>616</v>
      </c>
      <c r="I60" s="10" t="s">
        <v>501</v>
      </c>
      <c r="J60" s="10" t="s">
        <v>617</v>
      </c>
      <c r="K60" s="10" t="s">
        <v>473</v>
      </c>
      <c r="L60" s="10" t="s">
        <v>618</v>
      </c>
      <c r="M60" s="10" t="s">
        <v>619</v>
      </c>
      <c r="N60" s="10" t="s">
        <v>14</v>
      </c>
      <c r="O60" s="10" t="s">
        <v>620</v>
      </c>
      <c r="P60" s="10" t="s">
        <v>268</v>
      </c>
      <c r="Q60" s="10" t="s">
        <v>279</v>
      </c>
      <c r="R60" s="10" t="s">
        <v>621</v>
      </c>
      <c r="S60" s="11" t="s">
        <v>622</v>
      </c>
      <c r="T60" s="10" t="s">
        <v>623</v>
      </c>
    </row>
    <row r="61" customFormat="false" ht="23.85" hidden="false" customHeight="false" outlineLevel="0" collapsed="false">
      <c r="A61" s="10" t="s">
        <v>624</v>
      </c>
      <c r="B61" s="10" t="s">
        <v>404</v>
      </c>
      <c r="C61" s="10" t="s">
        <v>261</v>
      </c>
      <c r="D61" s="10" t="s">
        <v>262</v>
      </c>
      <c r="E61" s="10" t="s">
        <v>274</v>
      </c>
      <c r="F61" s="10" t="s">
        <v>90</v>
      </c>
      <c r="G61" s="10" t="s">
        <v>91</v>
      </c>
      <c r="H61" s="10" t="s">
        <v>625</v>
      </c>
      <c r="I61" s="10" t="s">
        <v>501</v>
      </c>
      <c r="J61" s="10" t="s">
        <v>626</v>
      </c>
      <c r="K61" s="10" t="s">
        <v>473</v>
      </c>
      <c r="L61" s="10" t="s">
        <v>627</v>
      </c>
      <c r="M61" s="10" t="s">
        <v>628</v>
      </c>
      <c r="N61" s="10" t="s">
        <v>14</v>
      </c>
      <c r="O61" s="10" t="s">
        <v>629</v>
      </c>
      <c r="P61" s="10" t="s">
        <v>81</v>
      </c>
      <c r="Q61" s="10" t="s">
        <v>202</v>
      </c>
      <c r="R61" s="10" t="s">
        <v>630</v>
      </c>
      <c r="S61" s="11" t="s">
        <v>631</v>
      </c>
      <c r="T61" s="10" t="s">
        <v>632</v>
      </c>
    </row>
    <row r="62" customFormat="false" ht="23.85" hidden="false" customHeight="false" outlineLevel="0" collapsed="false">
      <c r="A62" s="10" t="s">
        <v>633</v>
      </c>
      <c r="B62" s="10" t="s">
        <v>404</v>
      </c>
      <c r="C62" s="10" t="s">
        <v>233</v>
      </c>
      <c r="D62" s="10" t="s">
        <v>234</v>
      </c>
      <c r="E62" s="10" t="s">
        <v>274</v>
      </c>
      <c r="F62" s="10" t="s">
        <v>90</v>
      </c>
      <c r="G62" s="10" t="s">
        <v>91</v>
      </c>
      <c r="H62" s="10" t="s">
        <v>634</v>
      </c>
      <c r="I62" s="10" t="s">
        <v>406</v>
      </c>
      <c r="J62" s="10" t="s">
        <v>635</v>
      </c>
      <c r="K62" s="10" t="s">
        <v>419</v>
      </c>
      <c r="L62" s="10" t="s">
        <v>420</v>
      </c>
      <c r="M62" s="10" t="s">
        <v>636</v>
      </c>
      <c r="N62" s="10" t="s">
        <v>12</v>
      </c>
      <c r="O62" s="10" t="s">
        <v>637</v>
      </c>
      <c r="P62" s="10" t="s">
        <v>638</v>
      </c>
      <c r="Q62" s="10" t="s">
        <v>639</v>
      </c>
      <c r="R62" s="10" t="s">
        <v>640</v>
      </c>
      <c r="S62" s="11" t="s">
        <v>641</v>
      </c>
      <c r="T62" s="10" t="s">
        <v>642</v>
      </c>
    </row>
    <row r="63" customFormat="false" ht="23.85" hidden="false" customHeight="false" outlineLevel="0" collapsed="false">
      <c r="A63" s="10" t="s">
        <v>643</v>
      </c>
      <c r="B63" s="10" t="s">
        <v>404</v>
      </c>
      <c r="C63" s="10" t="s">
        <v>233</v>
      </c>
      <c r="D63" s="10" t="s">
        <v>234</v>
      </c>
      <c r="E63" s="10" t="s">
        <v>274</v>
      </c>
      <c r="F63" s="10" t="s">
        <v>217</v>
      </c>
      <c r="G63" s="10" t="s">
        <v>91</v>
      </c>
      <c r="H63" s="10" t="s">
        <v>644</v>
      </c>
      <c r="I63" s="10" t="s">
        <v>645</v>
      </c>
      <c r="J63" s="10" t="s">
        <v>646</v>
      </c>
      <c r="K63" s="10" t="s">
        <v>473</v>
      </c>
      <c r="L63" s="10" t="s">
        <v>647</v>
      </c>
      <c r="M63" s="10" t="s">
        <v>648</v>
      </c>
      <c r="N63" s="10" t="s">
        <v>12</v>
      </c>
      <c r="O63" s="10" t="s">
        <v>649</v>
      </c>
      <c r="P63" s="10" t="s">
        <v>81</v>
      </c>
      <c r="Q63" s="10" t="s">
        <v>202</v>
      </c>
      <c r="R63" s="10" t="s">
        <v>650</v>
      </c>
      <c r="S63" s="11" t="s">
        <v>651</v>
      </c>
      <c r="T63" s="10" t="s">
        <v>652</v>
      </c>
    </row>
    <row r="64" customFormat="false" ht="23.85" hidden="false" customHeight="false" outlineLevel="0" collapsed="false">
      <c r="A64" s="10" t="s">
        <v>653</v>
      </c>
      <c r="B64" s="10" t="s">
        <v>404</v>
      </c>
      <c r="C64" s="10" t="s">
        <v>233</v>
      </c>
      <c r="D64" s="10" t="s">
        <v>234</v>
      </c>
      <c r="E64" s="10" t="s">
        <v>274</v>
      </c>
      <c r="F64" s="10" t="s">
        <v>90</v>
      </c>
      <c r="G64" s="10" t="s">
        <v>134</v>
      </c>
      <c r="H64" s="10" t="s">
        <v>654</v>
      </c>
      <c r="I64" s="10" t="s">
        <v>501</v>
      </c>
      <c r="J64" s="10" t="s">
        <v>655</v>
      </c>
      <c r="K64" s="10" t="s">
        <v>473</v>
      </c>
      <c r="L64" s="10" t="s">
        <v>452</v>
      </c>
      <c r="M64" s="10" t="s">
        <v>656</v>
      </c>
      <c r="N64" s="10" t="s">
        <v>14</v>
      </c>
      <c r="O64" s="10" t="s">
        <v>657</v>
      </c>
      <c r="P64" s="10" t="s">
        <v>81</v>
      </c>
      <c r="Q64" s="10" t="s">
        <v>658</v>
      </c>
      <c r="R64" s="10" t="s">
        <v>659</v>
      </c>
      <c r="S64" s="11" t="s">
        <v>660</v>
      </c>
      <c r="T64" s="10" t="s">
        <v>661</v>
      </c>
    </row>
    <row r="65" customFormat="false" ht="23.85" hidden="false" customHeight="false" outlineLevel="0" collapsed="false">
      <c r="A65" s="10" t="s">
        <v>662</v>
      </c>
      <c r="B65" s="10" t="s">
        <v>404</v>
      </c>
      <c r="C65" s="10" t="s">
        <v>233</v>
      </c>
      <c r="D65" s="10" t="s">
        <v>234</v>
      </c>
      <c r="E65" s="10"/>
      <c r="F65" s="10" t="s">
        <v>395</v>
      </c>
      <c r="G65" s="10" t="s">
        <v>134</v>
      </c>
      <c r="H65" s="10" t="s">
        <v>663</v>
      </c>
      <c r="I65" s="10" t="s">
        <v>501</v>
      </c>
      <c r="J65" s="10" t="s">
        <v>664</v>
      </c>
      <c r="K65" s="10" t="s">
        <v>473</v>
      </c>
      <c r="L65" s="10" t="s">
        <v>545</v>
      </c>
      <c r="M65" s="10" t="s">
        <v>665</v>
      </c>
      <c r="N65" s="10" t="s">
        <v>14</v>
      </c>
      <c r="O65" s="10" t="s">
        <v>666</v>
      </c>
      <c r="P65" s="10" t="s">
        <v>70</v>
      </c>
      <c r="Q65" s="10" t="s">
        <v>667</v>
      </c>
      <c r="R65" s="10" t="s">
        <v>668</v>
      </c>
      <c r="S65" s="11" t="s">
        <v>669</v>
      </c>
      <c r="T65" s="10" t="s">
        <v>670</v>
      </c>
    </row>
    <row r="66" customFormat="false" ht="23.85" hidden="false" customHeight="false" outlineLevel="0" collapsed="false">
      <c r="A66" s="10" t="s">
        <v>671</v>
      </c>
      <c r="B66" s="10" t="s">
        <v>404</v>
      </c>
      <c r="C66" s="10" t="s">
        <v>233</v>
      </c>
      <c r="D66" s="10" t="s">
        <v>234</v>
      </c>
      <c r="E66" s="10"/>
      <c r="F66" s="10" t="s">
        <v>395</v>
      </c>
      <c r="G66" s="10" t="s">
        <v>134</v>
      </c>
      <c r="H66" s="10" t="s">
        <v>672</v>
      </c>
      <c r="I66" s="10" t="s">
        <v>673</v>
      </c>
      <c r="J66" s="10" t="s">
        <v>674</v>
      </c>
      <c r="K66" s="10" t="s">
        <v>528</v>
      </c>
      <c r="L66" s="10" t="s">
        <v>675</v>
      </c>
      <c r="M66" s="10" t="s">
        <v>676</v>
      </c>
      <c r="N66" s="10" t="s">
        <v>12</v>
      </c>
      <c r="O66" s="10" t="s">
        <v>677</v>
      </c>
      <c r="P66" s="10" t="s">
        <v>70</v>
      </c>
      <c r="Q66" s="10" t="s">
        <v>678</v>
      </c>
      <c r="R66" s="10" t="s">
        <v>679</v>
      </c>
      <c r="S66" s="11" t="s">
        <v>680</v>
      </c>
      <c r="T66" s="10" t="s">
        <v>681</v>
      </c>
    </row>
    <row r="67" customFormat="false" ht="23.85" hidden="false" customHeight="false" outlineLevel="0" collapsed="false">
      <c r="A67" s="10" t="s">
        <v>682</v>
      </c>
      <c r="B67" s="10" t="s">
        <v>404</v>
      </c>
      <c r="C67" s="10" t="s">
        <v>233</v>
      </c>
      <c r="D67" s="10" t="s">
        <v>234</v>
      </c>
      <c r="E67" s="10"/>
      <c r="F67" s="10" t="s">
        <v>323</v>
      </c>
      <c r="G67" s="10" t="s">
        <v>65</v>
      </c>
      <c r="H67" s="10" t="s">
        <v>683</v>
      </c>
      <c r="I67" s="10" t="s">
        <v>684</v>
      </c>
      <c r="J67" s="10" t="s">
        <v>685</v>
      </c>
      <c r="K67" s="10" t="s">
        <v>473</v>
      </c>
      <c r="L67" s="10" t="s">
        <v>686</v>
      </c>
      <c r="M67" s="10" t="s">
        <v>687</v>
      </c>
      <c r="N67" s="10" t="s">
        <v>12</v>
      </c>
      <c r="O67" s="10" t="s">
        <v>688</v>
      </c>
      <c r="P67" s="10" t="s">
        <v>689</v>
      </c>
      <c r="Q67" s="10" t="s">
        <v>279</v>
      </c>
      <c r="R67" s="10" t="s">
        <v>690</v>
      </c>
      <c r="S67" s="11" t="s">
        <v>691</v>
      </c>
      <c r="T67" s="10" t="s">
        <v>692</v>
      </c>
    </row>
    <row r="68" customFormat="false" ht="23.85" hidden="false" customHeight="false" outlineLevel="0" collapsed="false">
      <c r="A68" s="10" t="s">
        <v>693</v>
      </c>
      <c r="B68" s="10" t="s">
        <v>404</v>
      </c>
      <c r="C68" s="10" t="s">
        <v>233</v>
      </c>
      <c r="D68" s="10" t="s">
        <v>234</v>
      </c>
      <c r="E68" s="10" t="s">
        <v>274</v>
      </c>
      <c r="F68" s="10" t="s">
        <v>176</v>
      </c>
      <c r="G68" s="10" t="s">
        <v>65</v>
      </c>
      <c r="H68" s="10" t="s">
        <v>694</v>
      </c>
      <c r="I68" s="10" t="s">
        <v>695</v>
      </c>
      <c r="J68" s="10" t="s">
        <v>696</v>
      </c>
      <c r="K68" s="10" t="s">
        <v>473</v>
      </c>
      <c r="L68" s="10" t="s">
        <v>697</v>
      </c>
      <c r="M68" s="10" t="s">
        <v>698</v>
      </c>
      <c r="N68" s="10" t="s">
        <v>14</v>
      </c>
      <c r="O68" s="10" t="s">
        <v>699</v>
      </c>
      <c r="P68" s="10" t="s">
        <v>81</v>
      </c>
      <c r="Q68" s="10" t="s">
        <v>202</v>
      </c>
      <c r="R68" s="10" t="s">
        <v>700</v>
      </c>
      <c r="S68" s="11" t="s">
        <v>701</v>
      </c>
      <c r="T68" s="10" t="s">
        <v>940</v>
      </c>
    </row>
    <row r="69" customFormat="false" ht="23.85" hidden="false" customHeight="false" outlineLevel="0" collapsed="false">
      <c r="A69" s="10" t="s">
        <v>702</v>
      </c>
      <c r="B69" s="10" t="s">
        <v>404</v>
      </c>
      <c r="C69" s="10" t="s">
        <v>62</v>
      </c>
      <c r="D69" s="10" t="s">
        <v>63</v>
      </c>
      <c r="E69" s="10" t="s">
        <v>274</v>
      </c>
      <c r="F69" s="10" t="s">
        <v>76</v>
      </c>
      <c r="G69" s="10" t="s">
        <v>91</v>
      </c>
      <c r="H69" s="10" t="s">
        <v>703</v>
      </c>
      <c r="I69" s="10" t="s">
        <v>501</v>
      </c>
      <c r="J69" s="10" t="s">
        <v>704</v>
      </c>
      <c r="K69" s="10" t="s">
        <v>473</v>
      </c>
      <c r="L69" s="10" t="s">
        <v>705</v>
      </c>
      <c r="M69" s="10" t="s">
        <v>706</v>
      </c>
      <c r="N69" s="10" t="s">
        <v>12</v>
      </c>
      <c r="O69" s="10" t="s">
        <v>707</v>
      </c>
      <c r="P69" s="10" t="s">
        <v>81</v>
      </c>
      <c r="Q69" s="10" t="s">
        <v>202</v>
      </c>
      <c r="R69" s="10" t="s">
        <v>708</v>
      </c>
      <c r="S69" s="11" t="s">
        <v>709</v>
      </c>
      <c r="T69" s="10" t="s">
        <v>710</v>
      </c>
    </row>
    <row r="70" customFormat="false" ht="23.85" hidden="false" customHeight="false" outlineLevel="0" collapsed="false">
      <c r="A70" s="10" t="s">
        <v>711</v>
      </c>
      <c r="B70" s="10" t="s">
        <v>404</v>
      </c>
      <c r="C70" s="10" t="s">
        <v>233</v>
      </c>
      <c r="D70" s="10" t="s">
        <v>234</v>
      </c>
      <c r="E70" s="10"/>
      <c r="F70" s="10" t="s">
        <v>90</v>
      </c>
      <c r="G70" s="10" t="s">
        <v>91</v>
      </c>
      <c r="H70" s="10" t="s">
        <v>712</v>
      </c>
      <c r="I70" s="10" t="s">
        <v>713</v>
      </c>
      <c r="J70" s="10" t="s">
        <v>714</v>
      </c>
      <c r="K70" s="10" t="s">
        <v>518</v>
      </c>
      <c r="L70" s="10" t="s">
        <v>715</v>
      </c>
      <c r="M70" s="10" t="s">
        <v>716</v>
      </c>
      <c r="N70" s="10" t="s">
        <v>12</v>
      </c>
      <c r="O70" s="10" t="s">
        <v>717</v>
      </c>
      <c r="P70" s="10" t="s">
        <v>718</v>
      </c>
      <c r="Q70" s="10" t="s">
        <v>719</v>
      </c>
      <c r="R70" s="10" t="s">
        <v>720</v>
      </c>
      <c r="S70" s="11" t="s">
        <v>721</v>
      </c>
      <c r="T70" s="10" t="s">
        <v>722</v>
      </c>
    </row>
    <row r="71" customFormat="false" ht="23.85" hidden="false" customHeight="false" outlineLevel="0" collapsed="false">
      <c r="A71" s="10" t="s">
        <v>723</v>
      </c>
      <c r="B71" s="10" t="s">
        <v>404</v>
      </c>
      <c r="C71" s="10" t="s">
        <v>62</v>
      </c>
      <c r="D71" s="10" t="s">
        <v>63</v>
      </c>
      <c r="E71" s="10"/>
      <c r="F71" s="10" t="s">
        <v>90</v>
      </c>
      <c r="G71" s="10" t="s">
        <v>91</v>
      </c>
      <c r="H71" s="10" t="s">
        <v>724</v>
      </c>
      <c r="I71" s="10" t="s">
        <v>725</v>
      </c>
      <c r="J71" s="10" t="s">
        <v>726</v>
      </c>
      <c r="K71" s="10" t="s">
        <v>473</v>
      </c>
      <c r="L71" s="10" t="s">
        <v>727</v>
      </c>
      <c r="M71" s="10" t="s">
        <v>728</v>
      </c>
      <c r="N71" s="10" t="s">
        <v>10</v>
      </c>
      <c r="O71" s="10" t="s">
        <v>729</v>
      </c>
      <c r="P71" s="10" t="s">
        <v>730</v>
      </c>
      <c r="Q71" s="10" t="s">
        <v>731</v>
      </c>
      <c r="R71" s="10" t="s">
        <v>732</v>
      </c>
      <c r="S71" s="11" t="s">
        <v>733</v>
      </c>
      <c r="T71" s="10" t="s">
        <v>734</v>
      </c>
    </row>
    <row r="72" customFormat="false" ht="23.85" hidden="false" customHeight="false" outlineLevel="0" collapsed="false">
      <c r="A72" s="10" t="s">
        <v>735</v>
      </c>
      <c r="B72" s="10" t="s">
        <v>404</v>
      </c>
      <c r="C72" s="10" t="s">
        <v>62</v>
      </c>
      <c r="D72" s="10" t="s">
        <v>63</v>
      </c>
      <c r="E72" s="10"/>
      <c r="F72" s="10" t="s">
        <v>90</v>
      </c>
      <c r="G72" s="10" t="s">
        <v>91</v>
      </c>
      <c r="H72" s="10" t="s">
        <v>736</v>
      </c>
      <c r="I72" s="10" t="s">
        <v>737</v>
      </c>
      <c r="J72" s="10" t="s">
        <v>738</v>
      </c>
      <c r="K72" s="10" t="s">
        <v>419</v>
      </c>
      <c r="L72" s="10" t="s">
        <v>739</v>
      </c>
      <c r="M72" s="10" t="s">
        <v>740</v>
      </c>
      <c r="N72" s="10" t="s">
        <v>14</v>
      </c>
      <c r="O72" s="10" t="s">
        <v>741</v>
      </c>
      <c r="P72" s="10" t="s">
        <v>81</v>
      </c>
      <c r="Q72" s="10" t="s">
        <v>247</v>
      </c>
      <c r="R72" s="10" t="s">
        <v>742</v>
      </c>
      <c r="S72" s="11" t="s">
        <v>743</v>
      </c>
      <c r="T72" s="10" t="s">
        <v>744</v>
      </c>
    </row>
    <row r="73" customFormat="false" ht="23.85" hidden="false" customHeight="false" outlineLevel="0" collapsed="false">
      <c r="A73" s="10" t="s">
        <v>941</v>
      </c>
      <c r="B73" s="10" t="s">
        <v>404</v>
      </c>
      <c r="C73" s="10" t="s">
        <v>187</v>
      </c>
      <c r="D73" s="10" t="s">
        <v>188</v>
      </c>
      <c r="E73" s="10" t="s">
        <v>263</v>
      </c>
      <c r="F73" s="10" t="s">
        <v>217</v>
      </c>
      <c r="G73" s="10" t="s">
        <v>134</v>
      </c>
      <c r="H73" s="10" t="s">
        <v>942</v>
      </c>
      <c r="I73" s="10" t="s">
        <v>943</v>
      </c>
      <c r="J73" s="10" t="s">
        <v>944</v>
      </c>
      <c r="K73" s="10" t="s">
        <v>493</v>
      </c>
      <c r="L73" s="10" t="s">
        <v>945</v>
      </c>
      <c r="M73" s="10" t="s">
        <v>946</v>
      </c>
      <c r="N73" s="10" t="s">
        <v>14</v>
      </c>
      <c r="O73" s="10" t="s">
        <v>947</v>
      </c>
      <c r="P73" s="10" t="s">
        <v>948</v>
      </c>
      <c r="Q73" s="10" t="s">
        <v>202</v>
      </c>
      <c r="R73" s="10" t="s">
        <v>949</v>
      </c>
      <c r="S73" s="11" t="s">
        <v>950</v>
      </c>
      <c r="T73" s="10" t="s">
        <v>951</v>
      </c>
    </row>
    <row r="74" customFormat="false" ht="23.85" hidden="false" customHeight="false" outlineLevel="0" collapsed="false">
      <c r="A74" s="10" t="s">
        <v>954</v>
      </c>
      <c r="B74" s="10" t="s">
        <v>404</v>
      </c>
      <c r="C74" s="10" t="s">
        <v>132</v>
      </c>
      <c r="D74" s="10" t="s">
        <v>133</v>
      </c>
      <c r="E74" s="10" t="s">
        <v>122</v>
      </c>
      <c r="F74" s="10" t="s">
        <v>153</v>
      </c>
      <c r="G74" s="10" t="s">
        <v>91</v>
      </c>
      <c r="H74" s="10" t="s">
        <v>955</v>
      </c>
      <c r="I74" s="10" t="s">
        <v>956</v>
      </c>
      <c r="J74" s="10" t="s">
        <v>957</v>
      </c>
      <c r="K74" s="10" t="s">
        <v>528</v>
      </c>
      <c r="L74" s="10" t="s">
        <v>503</v>
      </c>
      <c r="M74" s="10"/>
      <c r="N74" s="10" t="s">
        <v>10</v>
      </c>
      <c r="O74" s="10" t="s">
        <v>958</v>
      </c>
      <c r="P74" s="10" t="s">
        <v>81</v>
      </c>
      <c r="Q74" s="10" t="s">
        <v>202</v>
      </c>
      <c r="R74" s="10" t="s">
        <v>959</v>
      </c>
      <c r="S74" s="11" t="s">
        <v>960</v>
      </c>
      <c r="T74" s="10" t="s">
        <v>961</v>
      </c>
    </row>
    <row r="75" customFormat="false" ht="23.85" hidden="false" customHeight="false" outlineLevel="0" collapsed="false">
      <c r="A75" s="10" t="s">
        <v>962</v>
      </c>
      <c r="B75" s="10" t="s">
        <v>404</v>
      </c>
      <c r="C75" s="10" t="s">
        <v>163</v>
      </c>
      <c r="D75" s="10" t="s">
        <v>164</v>
      </c>
      <c r="E75" s="10" t="s">
        <v>165</v>
      </c>
      <c r="F75" s="10" t="s">
        <v>153</v>
      </c>
      <c r="G75" s="10" t="s">
        <v>91</v>
      </c>
      <c r="H75" s="10" t="s">
        <v>963</v>
      </c>
      <c r="I75" s="10" t="s">
        <v>964</v>
      </c>
      <c r="J75" s="10" t="s">
        <v>965</v>
      </c>
      <c r="K75" s="10" t="s">
        <v>451</v>
      </c>
      <c r="L75" s="10"/>
      <c r="M75" s="10"/>
      <c r="N75" s="10" t="s">
        <v>10</v>
      </c>
      <c r="O75" s="10" t="s">
        <v>966</v>
      </c>
      <c r="P75" s="10" t="s">
        <v>967</v>
      </c>
      <c r="Q75" s="10" t="s">
        <v>202</v>
      </c>
      <c r="R75" s="10" t="s">
        <v>968</v>
      </c>
      <c r="S75" s="11" t="s">
        <v>969</v>
      </c>
      <c r="T75" s="10" t="s">
        <v>970</v>
      </c>
    </row>
    <row r="76" customFormat="false" ht="23.85" hidden="false" customHeight="false" outlineLevel="0" collapsed="false">
      <c r="A76" s="10" t="s">
        <v>745</v>
      </c>
      <c r="B76" s="10" t="s">
        <v>746</v>
      </c>
      <c r="C76" s="10" t="s">
        <v>62</v>
      </c>
      <c r="D76" s="10" t="s">
        <v>63</v>
      </c>
      <c r="E76" s="10"/>
      <c r="F76" s="10" t="s">
        <v>747</v>
      </c>
      <c r="G76" s="10"/>
      <c r="H76" s="10" t="s">
        <v>748</v>
      </c>
      <c r="I76" s="10" t="s">
        <v>749</v>
      </c>
      <c r="J76" s="10" t="s">
        <v>750</v>
      </c>
      <c r="K76" s="10"/>
      <c r="L76" s="10"/>
      <c r="M76" s="10"/>
      <c r="N76" s="10" t="s">
        <v>10</v>
      </c>
      <c r="O76" s="10" t="s">
        <v>751</v>
      </c>
      <c r="P76" s="10" t="s">
        <v>96</v>
      </c>
      <c r="Q76" s="10" t="s">
        <v>296</v>
      </c>
      <c r="R76" s="10" t="s">
        <v>752</v>
      </c>
      <c r="S76" s="11" t="s">
        <v>753</v>
      </c>
      <c r="T76" s="10" t="s">
        <v>953</v>
      </c>
    </row>
    <row r="77" customFormat="false" ht="23.85" hidden="false" customHeight="false" outlineLevel="0" collapsed="false">
      <c r="A77" s="10" t="s">
        <v>755</v>
      </c>
      <c r="B77" s="10" t="s">
        <v>746</v>
      </c>
      <c r="C77" s="10" t="s">
        <v>62</v>
      </c>
      <c r="D77" s="10" t="s">
        <v>63</v>
      </c>
      <c r="E77" s="10"/>
      <c r="F77" s="10" t="s">
        <v>747</v>
      </c>
      <c r="G77" s="10"/>
      <c r="H77" s="10" t="s">
        <v>756</v>
      </c>
      <c r="I77" s="10" t="s">
        <v>757</v>
      </c>
      <c r="J77" s="10" t="s">
        <v>758</v>
      </c>
      <c r="K77" s="10"/>
      <c r="L77" s="10"/>
      <c r="M77" s="10"/>
      <c r="N77" s="10" t="s">
        <v>10</v>
      </c>
      <c r="O77" s="10" t="s">
        <v>759</v>
      </c>
      <c r="P77" s="10" t="s">
        <v>96</v>
      </c>
      <c r="Q77" s="10" t="s">
        <v>139</v>
      </c>
      <c r="R77" s="10" t="s">
        <v>760</v>
      </c>
      <c r="S77" s="11" t="s">
        <v>761</v>
      </c>
      <c r="T77" s="10" t="s">
        <v>762</v>
      </c>
    </row>
    <row r="78" customFormat="false" ht="23.85" hidden="false" customHeight="false" outlineLevel="0" collapsed="false">
      <c r="A78" s="10" t="s">
        <v>763</v>
      </c>
      <c r="B78" s="10" t="s">
        <v>746</v>
      </c>
      <c r="C78" s="10" t="s">
        <v>62</v>
      </c>
      <c r="D78" s="10" t="s">
        <v>63</v>
      </c>
      <c r="E78" s="10"/>
      <c r="F78" s="10" t="s">
        <v>747</v>
      </c>
      <c r="G78" s="10"/>
      <c r="H78" s="10" t="s">
        <v>764</v>
      </c>
      <c r="I78" s="10" t="s">
        <v>749</v>
      </c>
      <c r="J78" s="10" t="s">
        <v>765</v>
      </c>
      <c r="K78" s="10"/>
      <c r="L78" s="10"/>
      <c r="M78" s="10"/>
      <c r="N78" s="10" t="s">
        <v>10</v>
      </c>
      <c r="O78" s="10" t="s">
        <v>766</v>
      </c>
      <c r="P78" s="10" t="s">
        <v>81</v>
      </c>
      <c r="Q78" s="10" t="s">
        <v>269</v>
      </c>
      <c r="R78" s="10" t="s">
        <v>767</v>
      </c>
      <c r="S78" s="11" t="s">
        <v>768</v>
      </c>
      <c r="T78" s="10"/>
    </row>
    <row r="79" customFormat="false" ht="23.85" hidden="false" customHeight="false" outlineLevel="0" collapsed="false">
      <c r="A79" s="10" t="s">
        <v>769</v>
      </c>
      <c r="B79" s="10" t="s">
        <v>746</v>
      </c>
      <c r="C79" s="10" t="s">
        <v>62</v>
      </c>
      <c r="D79" s="10" t="s">
        <v>63</v>
      </c>
      <c r="E79" s="10"/>
      <c r="F79" s="10" t="s">
        <v>747</v>
      </c>
      <c r="G79" s="10"/>
      <c r="H79" s="10" t="s">
        <v>770</v>
      </c>
      <c r="I79" s="10" t="s">
        <v>771</v>
      </c>
      <c r="J79" s="10" t="s">
        <v>772</v>
      </c>
      <c r="K79" s="10"/>
      <c r="L79" s="10"/>
      <c r="M79" s="10"/>
      <c r="N79" s="10" t="s">
        <v>10</v>
      </c>
      <c r="O79" s="10" t="s">
        <v>773</v>
      </c>
      <c r="P79" s="10" t="s">
        <v>96</v>
      </c>
      <c r="Q79" s="10" t="s">
        <v>269</v>
      </c>
      <c r="R79" s="10" t="s">
        <v>774</v>
      </c>
      <c r="S79" s="11" t="s">
        <v>775</v>
      </c>
      <c r="T79" s="10" t="s">
        <v>776</v>
      </c>
    </row>
    <row r="80" customFormat="false" ht="23.85" hidden="false" customHeight="false" outlineLevel="0" collapsed="false">
      <c r="A80" s="10" t="s">
        <v>777</v>
      </c>
      <c r="B80" s="10" t="s">
        <v>746</v>
      </c>
      <c r="C80" s="10" t="s">
        <v>62</v>
      </c>
      <c r="D80" s="10" t="s">
        <v>63</v>
      </c>
      <c r="E80" s="10"/>
      <c r="F80" s="10" t="s">
        <v>747</v>
      </c>
      <c r="G80" s="10"/>
      <c r="H80" s="10" t="s">
        <v>778</v>
      </c>
      <c r="I80" s="10" t="s">
        <v>771</v>
      </c>
      <c r="J80" s="10" t="s">
        <v>779</v>
      </c>
      <c r="K80" s="10"/>
      <c r="L80" s="10"/>
      <c r="M80" s="10"/>
      <c r="N80" s="10" t="s">
        <v>12</v>
      </c>
      <c r="O80" s="10" t="s">
        <v>780</v>
      </c>
      <c r="P80" s="10" t="s">
        <v>96</v>
      </c>
      <c r="Q80" s="10" t="s">
        <v>781</v>
      </c>
      <c r="R80" s="10" t="s">
        <v>782</v>
      </c>
      <c r="S80" s="11" t="s">
        <v>783</v>
      </c>
      <c r="T80" s="10" t="s">
        <v>784</v>
      </c>
    </row>
    <row r="81" customFormat="false" ht="23.85" hidden="false" customHeight="false" outlineLevel="0" collapsed="false">
      <c r="A81" s="10" t="s">
        <v>785</v>
      </c>
      <c r="B81" s="10" t="s">
        <v>746</v>
      </c>
      <c r="C81" s="10" t="s">
        <v>62</v>
      </c>
      <c r="D81" s="10" t="s">
        <v>63</v>
      </c>
      <c r="E81" s="10"/>
      <c r="F81" s="10" t="s">
        <v>747</v>
      </c>
      <c r="G81" s="10"/>
      <c r="H81" s="10" t="s">
        <v>786</v>
      </c>
      <c r="I81" s="10" t="s">
        <v>787</v>
      </c>
      <c r="J81" s="10" t="s">
        <v>788</v>
      </c>
      <c r="K81" s="10"/>
      <c r="L81" s="10"/>
      <c r="M81" s="10"/>
      <c r="N81" s="10" t="s">
        <v>12</v>
      </c>
      <c r="O81" s="10" t="s">
        <v>789</v>
      </c>
      <c r="P81" s="10" t="s">
        <v>96</v>
      </c>
      <c r="Q81" s="10" t="s">
        <v>790</v>
      </c>
      <c r="R81" s="10" t="s">
        <v>791</v>
      </c>
      <c r="S81" s="11" t="s">
        <v>792</v>
      </c>
      <c r="T81" s="10" t="s">
        <v>793</v>
      </c>
    </row>
    <row r="82" customFormat="false" ht="23.85" hidden="false" customHeight="false" outlineLevel="0" collapsed="false">
      <c r="A82" s="10" t="s">
        <v>794</v>
      </c>
      <c r="B82" s="10" t="s">
        <v>746</v>
      </c>
      <c r="C82" s="10" t="s">
        <v>62</v>
      </c>
      <c r="D82" s="10" t="s">
        <v>63</v>
      </c>
      <c r="E82" s="10"/>
      <c r="F82" s="10" t="s">
        <v>747</v>
      </c>
      <c r="G82" s="10"/>
      <c r="H82" s="10" t="s">
        <v>795</v>
      </c>
      <c r="I82" s="10" t="s">
        <v>796</v>
      </c>
      <c r="J82" s="10" t="s">
        <v>797</v>
      </c>
      <c r="K82" s="10"/>
      <c r="L82" s="10"/>
      <c r="M82" s="10"/>
      <c r="N82" s="10" t="s">
        <v>10</v>
      </c>
      <c r="O82" s="10" t="s">
        <v>798</v>
      </c>
      <c r="P82" s="10" t="s">
        <v>96</v>
      </c>
      <c r="Q82" s="10" t="s">
        <v>658</v>
      </c>
      <c r="R82" s="10" t="s">
        <v>799</v>
      </c>
      <c r="S82" s="11" t="s">
        <v>800</v>
      </c>
      <c r="T82" s="10" t="s">
        <v>801</v>
      </c>
    </row>
    <row r="83" customFormat="false" ht="23.85" hidden="false" customHeight="false" outlineLevel="0" collapsed="false">
      <c r="A83" s="10" t="s">
        <v>802</v>
      </c>
      <c r="B83" s="10" t="s">
        <v>803</v>
      </c>
      <c r="C83" s="10" t="s">
        <v>233</v>
      </c>
      <c r="D83" s="10" t="s">
        <v>234</v>
      </c>
      <c r="E83" s="10"/>
      <c r="F83" s="10" t="s">
        <v>90</v>
      </c>
      <c r="G83" s="10" t="s">
        <v>91</v>
      </c>
      <c r="H83" s="10" t="s">
        <v>804</v>
      </c>
      <c r="I83" s="10" t="s">
        <v>805</v>
      </c>
      <c r="J83" s="10" t="s">
        <v>806</v>
      </c>
      <c r="K83" s="10"/>
      <c r="L83" s="10"/>
      <c r="M83" s="10"/>
      <c r="N83" s="10" t="s">
        <v>12</v>
      </c>
      <c r="O83" s="10" t="s">
        <v>807</v>
      </c>
      <c r="P83" s="10" t="s">
        <v>81</v>
      </c>
      <c r="Q83" s="10" t="s">
        <v>312</v>
      </c>
      <c r="R83" s="10" t="s">
        <v>808</v>
      </c>
      <c r="S83" s="11" t="inlineStr">
        <is>
          <t xml:space="preserve">https://www.health.org.uk/reports-and-analysis/reports/health-in-2040-projected-patterns-of-illness-in-england</t>
        </is>
      </c>
      <c r="T83" s="10"/>
    </row>
    <row r="84" customFormat="false" ht="23.85" hidden="false" customHeight="false" outlineLevel="0" collapsed="false">
      <c r="A84" s="10" t="s">
        <v>810</v>
      </c>
      <c r="B84" s="10" t="s">
        <v>803</v>
      </c>
      <c r="C84" s="10" t="s">
        <v>233</v>
      </c>
      <c r="D84" s="10" t="s">
        <v>234</v>
      </c>
      <c r="E84" s="10"/>
      <c r="F84" s="10" t="s">
        <v>176</v>
      </c>
      <c r="G84" s="10" t="s">
        <v>65</v>
      </c>
      <c r="H84" s="10" t="s">
        <v>811</v>
      </c>
      <c r="I84" s="10" t="s">
        <v>805</v>
      </c>
      <c r="J84" s="10" t="s">
        <v>812</v>
      </c>
      <c r="K84" s="10"/>
      <c r="L84" s="10"/>
      <c r="M84" s="10"/>
      <c r="N84" s="10" t="s">
        <v>12</v>
      </c>
      <c r="O84" s="10" t="s">
        <v>807</v>
      </c>
      <c r="P84" s="10" t="s">
        <v>81</v>
      </c>
      <c r="Q84" s="10" t="s">
        <v>312</v>
      </c>
      <c r="R84" s="10" t="s">
        <v>813</v>
      </c>
      <c r="S84" s="11" t="inlineStr">
        <is>
          <t xml:space="preserve">https://www.health.org.uk/media-office/press-releases/700000-more-workers-are-projected-to-be-living-with-major-illness-by-2040</t>
        </is>
      </c>
      <c r="T84" s="10"/>
    </row>
    <row r="85" customFormat="false" ht="23.85" hidden="false" customHeight="false" outlineLevel="0" collapsed="false">
      <c r="A85" s="10" t="s">
        <v>815</v>
      </c>
      <c r="B85" s="10" t="s">
        <v>803</v>
      </c>
      <c r="C85" s="10" t="s">
        <v>62</v>
      </c>
      <c r="D85" s="10" t="s">
        <v>63</v>
      </c>
      <c r="E85" s="10"/>
      <c r="F85" s="10" t="s">
        <v>90</v>
      </c>
      <c r="G85" s="10" t="s">
        <v>91</v>
      </c>
      <c r="H85" s="10" t="s">
        <v>816</v>
      </c>
      <c r="I85" s="10" t="s">
        <v>817</v>
      </c>
      <c r="J85" s="10" t="s">
        <v>818</v>
      </c>
      <c r="K85" s="10"/>
      <c r="L85" s="10"/>
      <c r="M85" s="10"/>
      <c r="N85" s="10" t="s">
        <v>10</v>
      </c>
      <c r="O85" s="10" t="s">
        <v>819</v>
      </c>
      <c r="P85" s="10" t="s">
        <v>96</v>
      </c>
      <c r="Q85" s="10" t="s">
        <v>269</v>
      </c>
      <c r="R85" s="10" t="s">
        <v>820</v>
      </c>
      <c r="S85" s="11" t="s">
        <v>821</v>
      </c>
      <c r="T85" s="10"/>
    </row>
    <row r="86" customFormat="false" ht="23.85" hidden="false" customHeight="false" outlineLevel="0" collapsed="false">
      <c r="A86" s="10" t="s">
        <v>822</v>
      </c>
      <c r="B86" s="10" t="s">
        <v>803</v>
      </c>
      <c r="C86" s="10" t="s">
        <v>233</v>
      </c>
      <c r="D86" s="10" t="s">
        <v>234</v>
      </c>
      <c r="E86" s="10"/>
      <c r="F86" s="10" t="s">
        <v>176</v>
      </c>
      <c r="G86" s="10" t="s">
        <v>65</v>
      </c>
      <c r="H86" s="10" t="s">
        <v>823</v>
      </c>
      <c r="I86" s="10" t="s">
        <v>824</v>
      </c>
      <c r="J86" s="10" t="s">
        <v>825</v>
      </c>
      <c r="K86" s="10"/>
      <c r="L86" s="10"/>
      <c r="M86" s="10"/>
      <c r="N86" s="10" t="s">
        <v>10</v>
      </c>
      <c r="O86" s="10" t="s">
        <v>826</v>
      </c>
      <c r="P86" s="10" t="s">
        <v>96</v>
      </c>
      <c r="Q86" s="10" t="s">
        <v>247</v>
      </c>
      <c r="R86" s="10" t="s">
        <v>827</v>
      </c>
      <c r="S86" s="11" t="s">
        <v>828</v>
      </c>
      <c r="T86" s="10" t="s">
        <v>829</v>
      </c>
    </row>
    <row r="87" customFormat="false" ht="23.85" hidden="false" customHeight="false" outlineLevel="0" collapsed="false">
      <c r="A87" s="10" t="s">
        <v>830</v>
      </c>
      <c r="B87" s="10" t="s">
        <v>803</v>
      </c>
      <c r="C87" s="10" t="s">
        <v>163</v>
      </c>
      <c r="D87" s="10" t="s">
        <v>164</v>
      </c>
      <c r="E87" s="10" t="s">
        <v>111</v>
      </c>
      <c r="F87" s="10" t="s">
        <v>153</v>
      </c>
      <c r="G87" s="10" t="s">
        <v>91</v>
      </c>
      <c r="H87" s="10" t="s">
        <v>831</v>
      </c>
      <c r="I87" s="10" t="s">
        <v>832</v>
      </c>
      <c r="J87" s="10" t="s">
        <v>833</v>
      </c>
      <c r="K87" s="10"/>
      <c r="L87" s="10"/>
      <c r="M87" s="10"/>
      <c r="N87" s="10" t="s">
        <v>12</v>
      </c>
      <c r="O87" s="10" t="s">
        <v>834</v>
      </c>
      <c r="P87" s="10" t="s">
        <v>81</v>
      </c>
      <c r="Q87" s="10" t="s">
        <v>247</v>
      </c>
      <c r="R87" s="10" t="s">
        <v>835</v>
      </c>
      <c r="S87" s="11" t="s">
        <v>836</v>
      </c>
      <c r="T87" s="10" t="s">
        <v>837</v>
      </c>
    </row>
    <row r="88" customFormat="false" ht="23.85" hidden="false" customHeight="false" outlineLevel="0" collapsed="false">
      <c r="A88" s="10" t="s">
        <v>838</v>
      </c>
      <c r="B88" s="10" t="s">
        <v>803</v>
      </c>
      <c r="C88" s="10" t="s">
        <v>233</v>
      </c>
      <c r="D88" s="10" t="s">
        <v>234</v>
      </c>
      <c r="E88" s="10"/>
      <c r="F88" s="10" t="s">
        <v>176</v>
      </c>
      <c r="G88" s="10" t="s">
        <v>65</v>
      </c>
      <c r="H88" s="10" t="s">
        <v>388</v>
      </c>
      <c r="I88" s="10" t="s">
        <v>839</v>
      </c>
      <c r="J88" s="10" t="s">
        <v>840</v>
      </c>
      <c r="K88" s="10"/>
      <c r="L88" s="10"/>
      <c r="M88" s="10"/>
      <c r="N88" s="10" t="s">
        <v>14</v>
      </c>
      <c r="O88" s="10" t="s">
        <v>841</v>
      </c>
      <c r="P88" s="10" t="s">
        <v>96</v>
      </c>
      <c r="Q88" s="10" t="s">
        <v>193</v>
      </c>
      <c r="R88" s="10" t="s">
        <v>842</v>
      </c>
      <c r="S88" s="11" t="s">
        <v>393</v>
      </c>
      <c r="T88" s="10"/>
    </row>
    <row r="89" customFormat="false" ht="23.85" hidden="false" customHeight="false" outlineLevel="0" collapsed="false">
      <c r="A89" s="10" t="s">
        <v>843</v>
      </c>
      <c r="B89" s="10" t="s">
        <v>803</v>
      </c>
      <c r="C89" s="10" t="s">
        <v>187</v>
      </c>
      <c r="D89" s="10" t="s">
        <v>188</v>
      </c>
      <c r="E89" s="10"/>
      <c r="F89" s="10" t="s">
        <v>76</v>
      </c>
      <c r="G89" s="10" t="s">
        <v>65</v>
      </c>
      <c r="H89" s="10" t="s">
        <v>844</v>
      </c>
      <c r="I89" s="10" t="s">
        <v>845</v>
      </c>
      <c r="J89" s="10" t="s">
        <v>846</v>
      </c>
      <c r="K89" s="10"/>
      <c r="L89" s="10"/>
      <c r="M89" s="10"/>
      <c r="N89" s="10" t="s">
        <v>12</v>
      </c>
      <c r="O89" s="10" t="s">
        <v>847</v>
      </c>
      <c r="P89" s="10" t="s">
        <v>81</v>
      </c>
      <c r="Q89" s="10" t="s">
        <v>848</v>
      </c>
      <c r="R89" s="10" t="s">
        <v>849</v>
      </c>
      <c r="S89" s="11" t="s">
        <v>850</v>
      </c>
      <c r="T89" s="10" t="s">
        <v>851</v>
      </c>
    </row>
    <row r="90" customFormat="false" ht="23.85" hidden="false" customHeight="false" outlineLevel="0" collapsed="false">
      <c r="A90" s="10" t="s">
        <v>852</v>
      </c>
      <c r="B90" s="10" t="s">
        <v>803</v>
      </c>
      <c r="C90" s="10" t="s">
        <v>62</v>
      </c>
      <c r="D90" s="10" t="s">
        <v>63</v>
      </c>
      <c r="E90" s="10"/>
      <c r="F90" s="10" t="s">
        <v>176</v>
      </c>
      <c r="G90" s="10" t="s">
        <v>65</v>
      </c>
      <c r="H90" s="10" t="s">
        <v>853</v>
      </c>
      <c r="I90" s="10" t="s">
        <v>839</v>
      </c>
      <c r="J90" s="10" t="s">
        <v>854</v>
      </c>
      <c r="K90" s="10"/>
      <c r="L90" s="10"/>
      <c r="M90" s="10"/>
      <c r="N90" s="10" t="s">
        <v>14</v>
      </c>
      <c r="O90" s="10" t="s">
        <v>95</v>
      </c>
      <c r="P90" s="10" t="s">
        <v>96</v>
      </c>
      <c r="Q90" s="10" t="s">
        <v>312</v>
      </c>
      <c r="R90" s="10" t="s">
        <v>855</v>
      </c>
      <c r="S90" s="11" t="s">
        <v>856</v>
      </c>
      <c r="T90" s="10"/>
    </row>
    <row r="91" customFormat="false" ht="23.85" hidden="false" customHeight="false" outlineLevel="0" collapsed="false">
      <c r="A91" s="10" t="s">
        <v>857</v>
      </c>
      <c r="B91" s="10" t="s">
        <v>803</v>
      </c>
      <c r="C91" s="10" t="s">
        <v>62</v>
      </c>
      <c r="D91" s="10" t="s">
        <v>63</v>
      </c>
      <c r="E91" s="10"/>
      <c r="F91" s="10" t="s">
        <v>64</v>
      </c>
      <c r="G91" s="10" t="s">
        <v>134</v>
      </c>
      <c r="H91" s="10" t="s">
        <v>858</v>
      </c>
      <c r="I91" s="10" t="s">
        <v>859</v>
      </c>
      <c r="J91" s="10" t="s">
        <v>860</v>
      </c>
      <c r="K91" s="10"/>
      <c r="L91" s="10"/>
      <c r="M91" s="10"/>
      <c r="N91" s="10" t="s">
        <v>14</v>
      </c>
      <c r="O91" s="10" t="s">
        <v>147</v>
      </c>
      <c r="P91" s="10" t="s">
        <v>861</v>
      </c>
      <c r="Q91" s="10" t="s">
        <v>139</v>
      </c>
      <c r="R91" s="10" t="s">
        <v>862</v>
      </c>
      <c r="S91" s="11" t="s">
        <v>863</v>
      </c>
      <c r="T91" s="10" t="s">
        <v>864</v>
      </c>
    </row>
  </sheetData>
  <autoFilter ref="A1:T91"/>
  <hyperlinks>
    <hyperlink ref="S2" r:id="rId1" display="https://foundations.org.uk/our-work/publications/the-cost-of-late-intervention-eif-analysis-2016/"/>
    <hyperlink ref="S3" r:id="rId2" display="https://learning.nspcc.org.uk/research-resources/childrens-services-spending-reports"/>
    <hyperlink ref="S4" r:id="rId3" display="https://www.centreformentalhealth.org.uk/wp-content/uploads/2018/09/costsofperinatalsummary.pdf"/>
    <hyperlink ref="S5" r:id="rId4" display="https://doi.org/10.1111/add.14183"/>
    <hyperlink ref="S6" r:id="rId5" display="https://doi.org/10.1111/acer.14705"/>
    <hyperlink ref="S7" r:id="rId6" display="http://wrap.warwick.ac.uk/37026/"/>
    <hyperlink ref="S8" r:id="rId7" display="https://pubmed.ncbi.nlm.nih.gov/40168916/"/>
    <hyperlink ref="S9" r:id="rId8" display="https://doi.org/10.1016/S2468-2667(21)00232-2"/>
    <hyperlink ref="S10" r:id="rId9" display="https://doi.org/10.1111/jcpp.12573"/>
    <hyperlink ref="S11" r:id="rId10" display="https://pubmed.ncbi.nlm.nih.gov/11473907/"/>
    <hyperlink ref="S12" r:id="rId11" display="https://doi.org/10.1016/j.socscimed.2018.05.014"/>
    <hyperlink ref="S13" r:id="rId12" display="https://www.ippr.org/media-office/revealed-school-exclusions-and-suspensions-rise-by-a-fifth-last-year-finds-new-report"/>
    <hyperlink ref="S14" r:id="rId13" display="https://www.england.nhs.uk/long-read/report-of-the-independent-adhd-taskforce-part-1/"/>
    <hyperlink ref="S15" r:id="rId14" display="https://doi.org/10.1001/jamapediatrics.2014.210"/>
    <hyperlink ref="S16" r:id="rId15" display="https://www.centreformentalhealth.org.uk/publications/traumatic-brain-injury-and-offending/"/>
    <hyperlink ref="S17" r:id="rId16" display="https://doi.org/10.1097/HTR.0000000000000129"/>
    <hyperlink ref="S18" r:id="rId17" display="https://doi.org/10.3109/02699052.2010.495697"/>
    <hyperlink ref="S19" r:id="rId18" display="https://ukabif.org.uk/news/701354/Hidden-toll-of-brain-injury-costs-economy-43-billion-a-year-.htm"/>
    <hyperlink ref="S20" r:id="rId19" display="https://www.nao.org.uk/wp-content/uploads/2025/09/Managing-childrens-residential-care.pdf"/>
    <hyperlink ref="S21" r:id="rId20" display="https://www.gov.uk/government/publications/young-people-and-work-interim-report/young-people-and-work-interim-report"/>
    <hyperlink ref="S22" r:id="rId21" display="https://www.centreformentalhealth.org.uk/publications/the-economic-and-social-costs-of-mental-ill-health/"/>
    <hyperlink ref="S23" r:id="rId22" display="https://www.ias.org.uk/factsheet/economy/"/>
    <hyperlink ref="S24" r:id="rId23" display="https://assets.publishing.service.gov.uk/media/60eef5588fa8f50c768386fd/independent-review-of-drugs-part-2-annexes.pdf"/>
    <hyperlink ref="S25" r:id="rId24" display="https://ash.org.uk/key-topics/the-economic-impact-of-smoking"/>
    <hyperlink ref="S26" r:id="rId25" display="https://www.frontier-economics.com/uk/en/news-and-insights/news/news-article-i20358-the-rising-cost-of-obesity-in-the-uk/"/>
    <hyperlink ref="S27" r:id="rId26" display="https://cpag.org.uk/news/official-child-poverty-statistics-350000-more-children-poverty-and-numbers-will-rise"/>
    <hyperlink ref="S28" r:id="rId27" display="https://commonslibrary.parliament.uk/research-briefings/cbp-10421/"/>
    <hyperlink ref="S29" r:id="rId28" display="https://osr.statisticsauthority.gov.uk/correspondence/reporting-the-costs-of-domestic-abuse"/>
    <hyperlink ref="S30" r:id="rId29" display="https://www.gov.uk/government/publications/economic-and-social-costs-of-crime-2019-to-2020/economic-and-social-costs-of-crime-2019-to-2020"/>
    <hyperlink ref="S31" r:id="rId30" display="https://assets.publishing.service.gov.uk/media/5d1de7a4e5274a08d13a684e/economic-social-costs-reoffending.pdf"/>
    <hyperlink ref="S32" r:id="rId31" display="https://assets.publishing.service.gov.uk/media/69bbeea2f7b1c24d8e23ce44/costs-per-place-costs-per-prisoner-2024-2025-summary.pdf"/>
    <hyperlink ref="S33" r:id="rId32" display="https://www.gov.uk/government/publications/updated-estimates-of-children-with-a-parent-in-prison/transparency-data-updated-estimates-of-children-with-a-parent-in-prison"/>
    <hyperlink ref="S34" r:id="rId33" display="https://www.nuffieldfjo.org.uk/resource/mothers-in-recurrent-care-proceedings-new-evidence-for-england-and-wales"/>
    <hyperlink ref="S35" r:id="rId34" display="https://cls.ucl.ac.uk/wp-content/uploads/2017/02/Children-of-care-leavers-policy-briefing.pdf"/>
    <hyperlink ref="S36" r:id="rId35" display="https://ippr-org.files.svdcdn.com/production/Downloads/Our_greatest_asset_Sept24.pdf"/>
    <hyperlink ref="S37" r:id="rId36" display="https://wrap.warwick.ac.uk/id/eprint/154072/"/>
    <hyperlink ref="S38" r:id="rId37" display="https://doi.org/10.1017/S0033291718001940"/>
    <hyperlink ref="S39" r:id="rId38" display="https://doi.org/10.1016/S2215-0366(25)00039-2"/>
    <hyperlink ref="S40" r:id="rId39" display="https://doi.org/10.1111/add.13160"/>
    <hyperlink ref="S41" r:id="rId40" display="https://doi.org/10.1111/add.16176"/>
    <hyperlink ref="S42" r:id="rId41" display="https://doi.org/10.1111/jep.12799"/>
    <hyperlink ref="S43" r:id="rId42" display="https://doi.org/10.1136/bmj.39126.699421.55"/>
    <hyperlink ref="S44" r:id="rId43" display="https://link.springer.com/article/10.1186/1471-2458-11-803"/>
    <hyperlink ref="S45" r:id="rId44" display="https://ifs.org.uk/news/sure-starts-wide-ranging-and-long-lasting-benefits-highlight-impact-integrated-early-years"/>
    <hyperlink ref="S46" r:id="rId45" display="https://link.springer.com/article/10.1186/s12888-015-0700-x"/>
    <hyperlink ref="S47" r:id="rId46" display="https://www.lse.ac.uk/business/consulting/assets/documents/commissioning-cost-effective-services-for-promotion-of-mental-health-and-wellbeing-and-prevention-of-mental-ill-health.pdf"/>
    <hyperlink ref="S48" r:id="rId47" display="https://www.lse.ac.uk/business/consulting/assets/documents/commissioning-cost-effective-services-for-promotion-of-mental-health-and-wellbeing-and-prevention-of-mental-ill-health.pdf"/>
    <hyperlink ref="S49" r:id="rId48" display="https://youthendowmentfund.org.uk/toolkit/social-skills-training/"/>
    <hyperlink ref="S50" r:id="rId49" display="https://youthendowmentfund.org.uk/toolkit/cognitive-behavioural-therapy/"/>
    <hyperlink ref="S51" r:id="rId50" display="https://youthendowmentfund.org.uk/toolkit/mentoring/"/>
    <hyperlink ref="S52" r:id="rId51" display="https://youthendowmentfund.org.uk/toolkit/focused-deterrence/"/>
    <hyperlink ref="S53" r:id="rId52" display="https://youthendowmentfund.org.uk/toolkit/trauma-specific-therapies/"/>
    <hyperlink ref="S54" r:id="rId53" display="https://youthendowmentfund.org.uk/toolkit/formal-pre-court-diversion/"/>
    <hyperlink ref="S55" r:id="rId54" display="https://pmc.ncbi.nlm.nih.gov/articles/PMC6697182/"/>
    <hyperlink ref="S56" r:id="rId55" display="https://doi.org/10.1111/jcpp.12743"/>
    <hyperlink ref="S57" r:id="rId56" display="https://www.gov.uk/government/publications/violence-reduction-units-year-ending-march-2023-evaluation-report/violence-reduction-units-2022-to-2023"/>
    <hyperlink ref="S58" r:id="rId57" display="https://doi.org/10.1056/NEJMoa1203241"/>
    <hyperlink ref="S59" r:id="rId58" display="https://committees.parliament.uk/writtenevidence/72380/html/"/>
    <hyperlink ref="S60" r:id="rId59" display="https://www.ukyouth.org/wp-content/uploads/2022/11/Economic-Value-of-Youth-Work-Full-Report.pdf"/>
    <hyperlink ref="S61" r:id="rId60" display="https://eprints.lse.ac.uk/56773/"/>
    <hyperlink ref="S62" r:id="rId61" display="https://doi.org/10.1192/bjp.bp.111.107888"/>
    <hyperlink ref="S63" r:id="rId62" display="https://www.rand.org/pubs/research_briefs/RBA1271-1.html"/>
    <hyperlink ref="S64" r:id="rId63" display="https://www.gov.uk/government/publications/alcohol-and-drug-prevention-treatment-and-recovery-why-invest/alcohol-and-drug-prevention-treatment-and-recovery-why-invest"/>
    <hyperlink ref="S65" r:id="rId64" display="http://safelives.org.uk/research-policy-library/saving-lives-saving-money-report/"/>
    <hyperlink ref="S66" r:id="rId65" display="https://safelives.org.uk/about-domestic-abuse/responding-to-perpetrators/"/>
    <hyperlink ref="S67" r:id="rId66" display="https://assets.publishing.service.gov.uk/media/671a6fea603993b7a8f75db5/Housing_First_Cost_Benefit_Analysis_Report.pdf"/>
    <hyperlink ref="S68" r:id="rId67" display="https://www.centreformentalhealth.org.uk/wp-content/uploads/2018/09/priorities.pdf"/>
    <hyperlink ref="S69" r:id="rId68" display="https://assets.publishing.service.gov.uk/media/5fa2d5e2d3bf7f03b3ee4925/Pause_-_Sussex.pdf"/>
    <hyperlink ref="S70" r:id="rId69" display="https://pmc.ncbi.nlm.nih.gov/articles/PMC10154457/"/>
    <hyperlink ref="S71" r:id="rId70" display="https://pubmed.ncbi.nlm.nih.gov/28356325/"/>
    <hyperlink ref="S72" r:id="rId71" display="https://www.health.org.uk/reports-and-analysis/analysis/investing-in-the-public-health-grant"/>
    <hyperlink ref="S73" r:id="rId89" display="https://www.kurvekriegen.nrw.de/sites/default/files/2021-11/2016_03_Prognos_KNA_Managementsummary.pdf"/>
    <hyperlink ref="S74" r:id="rId90" display="https://doi.org/10.1016/j.jsp.2022.04.006"/>
    <hyperlink ref="S75" r:id="rId91" display="https://files.eric.ed.gov/fulltext/ED581531.pdf"/>
    <hyperlink ref="S76" r:id="rId72" display="https://www.ohe.org/wp-content/uploads/2020/08/The_Green_Book.pdf"/>
    <hyperlink ref="S77" r:id="rId73" display="https://assets.publishing.service.gov.uk/media/60fa9169d3bf7f0448719daf/Wellbeing_guidance_for_appraisal_-_supplementary_Green_Book_guidance.pdf"/>
    <hyperlink ref="S78" r:id="rId74" display="https://www.nice.org.uk/news/articles/changes-to-nice-s-cost-effectiveness-thresholds-confirmed"/>
    <hyperlink ref="S79" r:id="rId75" display="https://assets.publishing.service.gov.uk/media/698488ab2df808759a7bd70f/Green_Book_supplementary_guidance_-_discounting.pdf"/>
    <hyperlink ref="S80" r:id="rId76" display="https://assets.publishing.service.gov.uk/media/6a43915e7ac6fd9c6a94abbe/Findings_and_Recommendations_-_Green_Book_Discount_Rate_Review.pdf"/>
    <hyperlink ref="S81" r:id="rId77" display="https://pmc.ncbi.nlm.nih.gov/articles/PMC13223565"/>
    <hyperlink ref="S82" r:id="rId78" display="https://assets.publishing.service.gov.uk/government/uploads/system/uploads/attachment_data/file/753688/Prevention_is_better_than_cure_5-11.pdf"/>
    <hyperlink ref="S83" r:id="rId79" display="https://www.health.org.uk/reports-and-analysis/reports/health-in-2040-projected-patterns-of-illness-in-england"/>
    <hyperlink ref="S84" r:id="rId80" display="https://www.health.org.uk/media-office/press-releases/700000-more-workers-are-projected-to-be-living-with-major-illness-by-2040"/>
    <hyperlink ref="S85" r:id="rId81" display="https://assets.publishing.service.gov.uk/media/6a4cb4c74889d85e75ab40e0/E03599617_OBR_FRS_2026_Accessible.pdf"/>
    <hyperlink ref="S86" r:id="rId82" display="https://obr.uk/frs/fiscal-risks-and-sustainability-july-2025/"/>
    <hyperlink ref="S87" r:id="rId83" display="https://ifs.org.uk/publications/schools-and-colleges-2025-spending-review"/>
    <hyperlink ref="S88" r:id="rId84" display="https://ippr-org.files.svdcdn.com/production/Downloads/Our_greatest_asset_Sept24.pdf"/>
    <hyperlink ref="S89" r:id="rId85" display="https://youthendowmentfund.org.uk/reports/beyond-the-headlines-2026/"/>
    <hyperlink ref="S90" r:id="rId86" display="https://cpag.org.uk/news/cost-child-poverty-2023"/>
    <hyperlink ref="S91" r:id="rId87" display="https://www.thelancet.com/journals/lanpub/article/PIIS2468-2667(19)30145-8/fulltex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22"/>
    <col collapsed="false" customWidth="true" hidden="false" outlineLevel="0" max="4" min="4" style="0" width="70"/>
  </cols>
  <sheetData>
    <row r="1" customFormat="false" ht="19.7" hidden="false" customHeight="false" outlineLevel="0" collapsed="false">
      <c r="A1" s="1" t="s">
        <v>865</v>
      </c>
    </row>
    <row r="3" customFormat="false" ht="15" hidden="false" customHeight="false" outlineLevel="0" collapsed="false">
      <c r="A3" s="12" t="s">
        <v>866</v>
      </c>
      <c r="B3" s="12" t="s">
        <v>49</v>
      </c>
      <c r="C3" s="12" t="s">
        <v>867</v>
      </c>
      <c r="D3" s="12" t="s">
        <v>57</v>
      </c>
    </row>
    <row r="4" customFormat="false" ht="15" hidden="false" customHeight="false" outlineLevel="0" collapsed="false">
      <c r="A4" s="2" t="s">
        <v>868</v>
      </c>
      <c r="B4" s="13" t="n">
        <v>70000</v>
      </c>
      <c r="C4" s="2" t="s">
        <v>869</v>
      </c>
      <c r="D4" s="2" t="s">
        <v>870</v>
      </c>
    </row>
    <row r="5" customFormat="false" ht="15" hidden="false" customHeight="false" outlineLevel="0" collapsed="false">
      <c r="A5" s="2" t="s">
        <v>871</v>
      </c>
      <c r="B5" s="13" t="n">
        <v>13000</v>
      </c>
      <c r="C5" s="2" t="s">
        <v>872</v>
      </c>
      <c r="D5" s="2" t="s">
        <v>873</v>
      </c>
    </row>
    <row r="6" customFormat="false" ht="15" hidden="false" customHeight="false" outlineLevel="0" collapsed="false">
      <c r="A6" s="2" t="s">
        <v>874</v>
      </c>
      <c r="B6" s="13" t="n">
        <v>25000</v>
      </c>
      <c r="C6" s="2" t="s">
        <v>749</v>
      </c>
      <c r="D6" s="2" t="s">
        <v>875</v>
      </c>
    </row>
    <row r="7" customFormat="false" ht="15" hidden="false" customHeight="false" outlineLevel="0" collapsed="false">
      <c r="A7" s="2" t="s">
        <v>876</v>
      </c>
      <c r="B7" s="13" t="n">
        <v>35000</v>
      </c>
      <c r="C7" s="2" t="s">
        <v>749</v>
      </c>
      <c r="D7" s="2" t="s">
        <v>875</v>
      </c>
    </row>
    <row r="8" customFormat="false" ht="15" hidden="false" customHeight="false" outlineLevel="0" collapsed="false">
      <c r="A8" s="2" t="s">
        <v>877</v>
      </c>
      <c r="B8" s="14" t="n">
        <v>0.035</v>
      </c>
      <c r="C8" s="2" t="s">
        <v>878</v>
      </c>
      <c r="D8" s="2" t="s">
        <v>879</v>
      </c>
    </row>
    <row r="9" customFormat="false" ht="15" hidden="false" customHeight="false" outlineLevel="0" collapsed="false">
      <c r="A9" s="2" t="s">
        <v>880</v>
      </c>
      <c r="B9" s="14" t="n">
        <v>0.015</v>
      </c>
      <c r="C9" s="2" t="s">
        <v>878</v>
      </c>
      <c r="D9" s="2" t="s">
        <v>879</v>
      </c>
    </row>
    <row r="10" customFormat="false" ht="15" hidden="false" customHeight="false" outlineLevel="0" collapsed="false">
      <c r="A10" s="2" t="s">
        <v>881</v>
      </c>
      <c r="B10" s="13" t="n">
        <v>1858700</v>
      </c>
      <c r="C10" s="2" t="s">
        <v>787</v>
      </c>
      <c r="D10" s="2" t="s">
        <v>882</v>
      </c>
    </row>
    <row r="11" customFormat="false" ht="15" hidden="false" customHeight="false" outlineLevel="0" collapsed="false">
      <c r="A11" s="2" t="s">
        <v>883</v>
      </c>
      <c r="B11" s="13" t="n">
        <v>42300</v>
      </c>
      <c r="C11" s="2" t="s">
        <v>884</v>
      </c>
      <c r="D11" s="2" t="s">
        <v>882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11"/>
    <col collapsed="false" customWidth="true" hidden="false" outlineLevel="0" max="6" min="4" style="0" width="14"/>
    <col collapsed="false" customWidth="true" hidden="false" outlineLevel="0" max="7" min="7" style="0" width="22"/>
    <col collapsed="false" customWidth="true" hidden="false" outlineLevel="0" max="8" min="8" style="0" width="26"/>
    <col collapsed="false" customWidth="true" hidden="false" outlineLevel="0" max="9" min="9" style="0" width="12"/>
    <col collapsed="false" customWidth="true" hidden="false" outlineLevel="0" max="10" min="10" style="0" width="18"/>
    <col collapsed="false" customWidth="true" hidden="false" outlineLevel="0" max="15" min="11" style="0" width="16"/>
  </cols>
  <sheetData>
    <row r="1" customFormat="false" ht="19.7" hidden="false" customHeight="false" outlineLevel="0" collapsed="false">
      <c r="A1" s="1" t="s">
        <v>885</v>
      </c>
    </row>
    <row r="2" customFormat="false" ht="15" hidden="false" customHeight="false" outlineLevel="0" collapsed="false">
      <c r="A2" s="2" t="s">
        <v>886</v>
      </c>
    </row>
    <row r="4" customFormat="false" ht="42" hidden="false" customHeight="true" outlineLevel="0" collapsed="false">
      <c r="A4" s="9" t="s">
        <v>40</v>
      </c>
      <c r="B4" s="9" t="s">
        <v>404</v>
      </c>
      <c r="C4" s="9" t="s">
        <v>887</v>
      </c>
      <c r="D4" s="9" t="s">
        <v>888</v>
      </c>
      <c r="E4" s="9" t="s">
        <v>889</v>
      </c>
      <c r="F4" s="9" t="s">
        <v>890</v>
      </c>
      <c r="G4" s="9" t="s">
        <v>891</v>
      </c>
      <c r="H4" s="9" t="s">
        <v>892</v>
      </c>
      <c r="I4" s="9" t="s">
        <v>56</v>
      </c>
      <c r="J4" s="9" t="s">
        <v>893</v>
      </c>
      <c r="K4" s="9" t="s">
        <v>894</v>
      </c>
      <c r="L4" s="9" t="s">
        <v>895</v>
      </c>
      <c r="M4" s="9" t="s">
        <v>896</v>
      </c>
      <c r="N4" s="9" t="s">
        <v>897</v>
      </c>
      <c r="O4" s="9" t="s">
        <v>898</v>
      </c>
    </row>
    <row r="5" customFormat="false" ht="15" hidden="false" customHeight="false" outlineLevel="0" collapsed="false">
      <c r="A5" s="2" t="s">
        <v>469</v>
      </c>
      <c r="B5" s="2" t="s">
        <v>899</v>
      </c>
      <c r="C5" s="2" t="s">
        <v>900</v>
      </c>
      <c r="D5" s="15" t="n">
        <v>1177</v>
      </c>
      <c r="E5" s="16" t="n">
        <v>2.8</v>
      </c>
      <c r="F5" s="16" t="n">
        <v>6.1</v>
      </c>
      <c r="G5" s="2" t="s">
        <v>901</v>
      </c>
      <c r="H5" s="2" t="s">
        <v>902</v>
      </c>
      <c r="I5" s="2" t="s">
        <v>475</v>
      </c>
      <c r="J5" s="17" t="n">
        <v>100</v>
      </c>
      <c r="K5" s="18" t="n">
        <f aca="false">IF(C5="Per unit",D5*J5,J5)</f>
        <v>117700</v>
      </c>
      <c r="L5" s="18" t="n">
        <f aca="false">K5*E5</f>
        <v>329560</v>
      </c>
      <c r="M5" s="18" t="n">
        <f aca="false">K5*F5</f>
        <v>717970</v>
      </c>
      <c r="N5" s="19" t="n">
        <f aca="false">L5-K5</f>
        <v>211860</v>
      </c>
      <c r="O5" s="19" t="n">
        <f aca="false">M5-K5</f>
        <v>600270</v>
      </c>
    </row>
    <row r="6" customFormat="false" ht="15" hidden="false" customHeight="false" outlineLevel="0" collapsed="false">
      <c r="A6" s="2" t="s">
        <v>479</v>
      </c>
      <c r="B6" s="2" t="s">
        <v>903</v>
      </c>
      <c r="C6" s="2" t="s">
        <v>904</v>
      </c>
      <c r="D6" s="2"/>
      <c r="E6" s="16" t="n">
        <v>2.05</v>
      </c>
      <c r="F6" s="16" t="n">
        <v>2.05</v>
      </c>
      <c r="G6" s="2" t="s">
        <v>905</v>
      </c>
      <c r="H6" s="2" t="s">
        <v>906</v>
      </c>
      <c r="I6" s="2" t="s">
        <v>256</v>
      </c>
      <c r="J6" s="17" t="n">
        <v>1000000</v>
      </c>
      <c r="K6" s="18" t="n">
        <f aca="false">IF(C6="Per unit",D6*J6,J6)</f>
        <v>1000000</v>
      </c>
      <c r="L6" s="18" t="n">
        <f aca="false">K6*E6</f>
        <v>2050000</v>
      </c>
      <c r="M6" s="18" t="n">
        <f aca="false">K6*F6</f>
        <v>2050000</v>
      </c>
      <c r="N6" s="19" t="n">
        <f aca="false">L6-K6</f>
        <v>1050000</v>
      </c>
      <c r="O6" s="19" t="n">
        <f aca="false">M6-K6</f>
        <v>1050000</v>
      </c>
    </row>
    <row r="7" customFormat="false" ht="15" hidden="false" customHeight="false" outlineLevel="0" collapsed="false">
      <c r="A7" s="2" t="s">
        <v>499</v>
      </c>
      <c r="B7" s="2" t="s">
        <v>907</v>
      </c>
      <c r="C7" s="2" t="s">
        <v>904</v>
      </c>
      <c r="D7" s="2"/>
      <c r="E7" s="16" t="n">
        <v>5.05</v>
      </c>
      <c r="F7" s="16" t="n">
        <v>5.05</v>
      </c>
      <c r="G7" s="2" t="s">
        <v>908</v>
      </c>
      <c r="H7" s="2" t="s">
        <v>909</v>
      </c>
      <c r="I7" s="2" t="s">
        <v>106</v>
      </c>
      <c r="J7" s="17" t="n">
        <v>1000000</v>
      </c>
      <c r="K7" s="18" t="n">
        <f aca="false">IF(C7="Per unit",D7*J7,J7)</f>
        <v>1000000</v>
      </c>
      <c r="L7" s="18" t="n">
        <f aca="false">K7*E7</f>
        <v>5050000</v>
      </c>
      <c r="M7" s="18" t="n">
        <f aca="false">K7*F7</f>
        <v>5050000</v>
      </c>
      <c r="N7" s="19" t="n">
        <f aca="false">L7-K7</f>
        <v>4050000</v>
      </c>
      <c r="O7" s="19" t="n">
        <f aca="false">M7-K7</f>
        <v>4050000</v>
      </c>
    </row>
    <row r="8" customFormat="false" ht="15" hidden="false" customHeight="false" outlineLevel="0" collapsed="false">
      <c r="A8" s="2" t="s">
        <v>508</v>
      </c>
      <c r="B8" s="2" t="s">
        <v>910</v>
      </c>
      <c r="C8" s="2" t="s">
        <v>904</v>
      </c>
      <c r="D8" s="2"/>
      <c r="E8" s="16" t="n">
        <v>1.58</v>
      </c>
      <c r="F8" s="16" t="n">
        <v>5.58</v>
      </c>
      <c r="G8" s="2" t="s">
        <v>911</v>
      </c>
      <c r="H8" s="2" t="s">
        <v>909</v>
      </c>
      <c r="I8" s="2" t="s">
        <v>106</v>
      </c>
      <c r="J8" s="17" t="n">
        <v>1000000</v>
      </c>
      <c r="K8" s="18" t="n">
        <f aca="false">IF(C8="Per unit",D8*J8,J8)</f>
        <v>1000000</v>
      </c>
      <c r="L8" s="18" t="n">
        <f aca="false">K8*E8</f>
        <v>1580000</v>
      </c>
      <c r="M8" s="18" t="n">
        <f aca="false">K8*F8</f>
        <v>5580000</v>
      </c>
      <c r="N8" s="19" t="n">
        <f aca="false">L8-K8</f>
        <v>580000</v>
      </c>
      <c r="O8" s="19" t="n">
        <f aca="false">M8-K8</f>
        <v>4580000</v>
      </c>
    </row>
    <row r="9" customFormat="false" ht="15" hidden="false" customHeight="false" outlineLevel="0" collapsed="false">
      <c r="A9" s="2" t="s">
        <v>615</v>
      </c>
      <c r="B9" s="2" t="s">
        <v>616</v>
      </c>
      <c r="C9" s="2" t="s">
        <v>904</v>
      </c>
      <c r="D9" s="2"/>
      <c r="E9" s="16" t="n">
        <v>3.2</v>
      </c>
      <c r="F9" s="16" t="n">
        <v>6.4</v>
      </c>
      <c r="G9" s="2" t="s">
        <v>912</v>
      </c>
      <c r="H9" s="2" t="s">
        <v>909</v>
      </c>
      <c r="I9" s="2" t="s">
        <v>279</v>
      </c>
      <c r="J9" s="17" t="n">
        <v>1000000</v>
      </c>
      <c r="K9" s="18" t="n">
        <f aca="false">IF(C9="Per unit",D9*J9,J9)</f>
        <v>1000000</v>
      </c>
      <c r="L9" s="18" t="n">
        <f aca="false">K9*E9</f>
        <v>3200000</v>
      </c>
      <c r="M9" s="18" t="n">
        <f aca="false">K9*F9</f>
        <v>6400000</v>
      </c>
      <c r="N9" s="19" t="n">
        <f aca="false">L9-K9</f>
        <v>2200000</v>
      </c>
      <c r="O9" s="19" t="n">
        <f aca="false">M9-K9</f>
        <v>5400000</v>
      </c>
    </row>
    <row r="10" customFormat="false" ht="15" hidden="false" customHeight="false" outlineLevel="0" collapsed="false">
      <c r="A10" s="2" t="s">
        <v>643</v>
      </c>
      <c r="B10" s="2" t="s">
        <v>913</v>
      </c>
      <c r="C10" s="2" t="s">
        <v>900</v>
      </c>
      <c r="D10" s="15" t="n">
        <v>659</v>
      </c>
      <c r="E10" s="16" t="n">
        <v>1.4158</v>
      </c>
      <c r="F10" s="16" t="n">
        <v>1.4158</v>
      </c>
      <c r="G10" s="2" t="s">
        <v>914</v>
      </c>
      <c r="H10" s="2" t="s">
        <v>915</v>
      </c>
      <c r="I10" s="2" t="s">
        <v>202</v>
      </c>
      <c r="J10" s="17" t="n">
        <v>100</v>
      </c>
      <c r="K10" s="18" t="n">
        <f aca="false">IF(C10="Per unit",D10*J10,J10)</f>
        <v>65900</v>
      </c>
      <c r="L10" s="18" t="n">
        <f aca="false">K10*E10</f>
        <v>93301.22</v>
      </c>
      <c r="M10" s="18" t="n">
        <f aca="false">K10*F10</f>
        <v>93301.22</v>
      </c>
      <c r="N10" s="19" t="n">
        <f aca="false">L10-K10</f>
        <v>27401.22</v>
      </c>
      <c r="O10" s="19" t="n">
        <f aca="false">M10-K10</f>
        <v>27401.22</v>
      </c>
    </row>
    <row r="11" customFormat="false" ht="15" hidden="false" customHeight="false" outlineLevel="0" collapsed="false">
      <c r="A11" s="2" t="s">
        <v>653</v>
      </c>
      <c r="B11" s="2" t="s">
        <v>654</v>
      </c>
      <c r="C11" s="2" t="s">
        <v>904</v>
      </c>
      <c r="D11" s="2"/>
      <c r="E11" s="16" t="n">
        <v>4</v>
      </c>
      <c r="F11" s="16" t="n">
        <v>21</v>
      </c>
      <c r="G11" s="2" t="s">
        <v>916</v>
      </c>
      <c r="H11" s="2" t="s">
        <v>917</v>
      </c>
      <c r="I11" s="2" t="s">
        <v>658</v>
      </c>
      <c r="J11" s="17" t="n">
        <v>1000000</v>
      </c>
      <c r="K11" s="18" t="n">
        <f aca="false">IF(C11="Per unit",D11*J11,J11)</f>
        <v>1000000</v>
      </c>
      <c r="L11" s="18" t="n">
        <f aca="false">K11*E11</f>
        <v>4000000</v>
      </c>
      <c r="M11" s="18" t="n">
        <f aca="false">K11*F11</f>
        <v>21000000</v>
      </c>
      <c r="N11" s="19" t="n">
        <f aca="false">L11-K11</f>
        <v>3000000</v>
      </c>
      <c r="O11" s="19" t="n">
        <f aca="false">M11-K11</f>
        <v>20000000</v>
      </c>
    </row>
    <row r="12" customFormat="false" ht="15" hidden="false" customHeight="false" outlineLevel="0" collapsed="false">
      <c r="A12" s="2" t="s">
        <v>662</v>
      </c>
      <c r="B12" s="2" t="s">
        <v>918</v>
      </c>
      <c r="C12" s="2" t="s">
        <v>904</v>
      </c>
      <c r="D12" s="2"/>
      <c r="E12" s="16" t="n">
        <v>6</v>
      </c>
      <c r="F12" s="16" t="n">
        <v>6</v>
      </c>
      <c r="G12" s="2" t="s">
        <v>919</v>
      </c>
      <c r="H12" s="2" t="s">
        <v>902</v>
      </c>
      <c r="I12" s="2" t="s">
        <v>667</v>
      </c>
      <c r="J12" s="17" t="n">
        <v>1000000</v>
      </c>
      <c r="K12" s="18" t="n">
        <f aca="false">IF(C12="Per unit",D12*J12,J12)</f>
        <v>1000000</v>
      </c>
      <c r="L12" s="18" t="n">
        <f aca="false">K12*E12</f>
        <v>6000000</v>
      </c>
      <c r="M12" s="18" t="n">
        <f aca="false">K12*F12</f>
        <v>6000000</v>
      </c>
      <c r="N12" s="19" t="n">
        <f aca="false">L12-K12</f>
        <v>5000000</v>
      </c>
      <c r="O12" s="19" t="n">
        <f aca="false">M12-K12</f>
        <v>5000000</v>
      </c>
    </row>
    <row r="13" customFormat="false" ht="15" hidden="false" customHeight="false" outlineLevel="0" collapsed="false">
      <c r="A13" s="2" t="s">
        <v>682</v>
      </c>
      <c r="B13" s="2" t="s">
        <v>683</v>
      </c>
      <c r="C13" s="2" t="s">
        <v>900</v>
      </c>
      <c r="D13" s="15" t="n">
        <v>10915</v>
      </c>
      <c r="E13" s="16" t="n">
        <v>1.1</v>
      </c>
      <c r="F13" s="16" t="n">
        <v>2.1</v>
      </c>
      <c r="G13" s="2" t="s">
        <v>920</v>
      </c>
      <c r="H13" s="2" t="s">
        <v>921</v>
      </c>
      <c r="I13" s="2" t="s">
        <v>279</v>
      </c>
      <c r="J13" s="17" t="n">
        <v>100</v>
      </c>
      <c r="K13" s="18" t="n">
        <f aca="false">IF(C13="Per unit",D13*J13,J13)</f>
        <v>1091500</v>
      </c>
      <c r="L13" s="18" t="n">
        <f aca="false">K13*E13</f>
        <v>1200650</v>
      </c>
      <c r="M13" s="18" t="n">
        <f aca="false">K13*F13</f>
        <v>2292150</v>
      </c>
      <c r="N13" s="19" t="n">
        <f aca="false">L13-K13</f>
        <v>109150</v>
      </c>
      <c r="O13" s="19" t="n">
        <f aca="false">M13-K13</f>
        <v>1200650</v>
      </c>
    </row>
    <row r="14" customFormat="false" ht="15" hidden="false" customHeight="false" outlineLevel="0" collapsed="false">
      <c r="A14" s="2" t="s">
        <v>702</v>
      </c>
      <c r="B14" s="2" t="s">
        <v>922</v>
      </c>
      <c r="C14" s="2" t="s">
        <v>904</v>
      </c>
      <c r="D14" s="2"/>
      <c r="E14" s="16" t="n">
        <v>4.5</v>
      </c>
      <c r="F14" s="16" t="n">
        <v>7.61</v>
      </c>
      <c r="G14" s="2" t="s">
        <v>923</v>
      </c>
      <c r="H14" s="2" t="s">
        <v>924</v>
      </c>
      <c r="I14" s="2" t="s">
        <v>202</v>
      </c>
      <c r="J14" s="17" t="n">
        <v>1000000</v>
      </c>
      <c r="K14" s="18" t="n">
        <f aca="false">IF(C14="Per unit",D14*J14,J14)</f>
        <v>1000000</v>
      </c>
      <c r="L14" s="18" t="n">
        <f aca="false">K14*E14</f>
        <v>4500000</v>
      </c>
      <c r="M14" s="18" t="n">
        <f aca="false">K14*F14</f>
        <v>7610000</v>
      </c>
      <c r="N14" s="19" t="n">
        <f aca="false">L14-K14</f>
        <v>3500000</v>
      </c>
      <c r="O14" s="19" t="n">
        <f aca="false">M14-K14</f>
        <v>6610000</v>
      </c>
    </row>
    <row r="15" customFormat="false" ht="15" hidden="false" customHeight="false" outlineLevel="0" collapsed="false">
      <c r="A15" s="2" t="s">
        <v>723</v>
      </c>
      <c r="B15" s="2" t="s">
        <v>925</v>
      </c>
      <c r="C15" s="2" t="s">
        <v>904</v>
      </c>
      <c r="D15" s="2"/>
      <c r="E15" s="16" t="n">
        <v>4.1</v>
      </c>
      <c r="F15" s="16" t="n">
        <v>27.2</v>
      </c>
      <c r="G15" s="2" t="s">
        <v>731</v>
      </c>
      <c r="H15" s="2" t="s">
        <v>926</v>
      </c>
      <c r="I15" s="2" t="s">
        <v>731</v>
      </c>
      <c r="J15" s="17" t="n">
        <v>1000000</v>
      </c>
      <c r="K15" s="18" t="n">
        <f aca="false">IF(C15="Per unit",D15*J15,J15)</f>
        <v>1000000</v>
      </c>
      <c r="L15" s="18" t="n">
        <f aca="false">K15*E15</f>
        <v>4100000</v>
      </c>
      <c r="M15" s="18" t="n">
        <f aca="false">K15*F15</f>
        <v>27200000</v>
      </c>
      <c r="N15" s="19" t="n">
        <f aca="false">L15-K15</f>
        <v>3100000</v>
      </c>
      <c r="O15" s="19" t="n">
        <f aca="false">M15-K15</f>
        <v>26200000</v>
      </c>
    </row>
    <row r="18" customFormat="false" ht="15" hidden="false" customHeight="false" outlineLevel="0" collapsed="false">
      <c r="A18" s="3" t="s">
        <v>927</v>
      </c>
    </row>
    <row r="19" customFormat="false" ht="15" hidden="false" customHeight="false" outlineLevel="0" collapsed="false">
      <c r="B19" s="2" t="s">
        <v>928</v>
      </c>
      <c r="J19" s="20" t="n">
        <v>100</v>
      </c>
    </row>
    <row r="20" customFormat="false" ht="15" hidden="false" customHeight="false" outlineLevel="0" collapsed="false">
      <c r="B20" s="2" t="s">
        <v>929</v>
      </c>
      <c r="K20" s="21" t="n">
        <f aca="false">J19*Parameters!B4</f>
        <v>7000000</v>
      </c>
    </row>
    <row r="21" customFormat="false" ht="15" hidden="false" customHeight="false" outlineLevel="0" collapsed="false">
      <c r="B21" s="2" t="s">
        <v>930</v>
      </c>
      <c r="K21" s="21" t="n">
        <f aca="false">J19*Parameters!B6</f>
        <v>2500000</v>
      </c>
    </row>
    <row r="22" customFormat="false" ht="15" hidden="false" customHeight="false" outlineLevel="0" collapsed="false">
      <c r="B22" s="2" t="s">
        <v>931</v>
      </c>
      <c r="K22" s="21" t="n">
        <f aca="false">J19*Parameters!B7</f>
        <v>3500000</v>
      </c>
    </row>
    <row r="24" customFormat="false" ht="15" hidden="false" customHeight="false" outlineLevel="0" collapsed="false">
      <c r="A24" s="3" t="s">
        <v>932</v>
      </c>
    </row>
    <row r="25" customFormat="false" ht="15" hidden="false" customHeight="false" outlineLevel="0" collapsed="false">
      <c r="B25" s="2" t="s">
        <v>933</v>
      </c>
      <c r="J25" s="22" t="n">
        <v>0.1</v>
      </c>
    </row>
    <row r="26" customFormat="false" ht="15" hidden="false" customHeight="false" outlineLevel="0" collapsed="false">
      <c r="B26" s="2" t="s">
        <v>934</v>
      </c>
      <c r="K26" s="23" t="n">
        <f aca="false">Parameters!B10*J25</f>
        <v>185870</v>
      </c>
    </row>
    <row r="27" customFormat="false" ht="15" hidden="false" customHeight="false" outlineLevel="0" collapsed="false">
      <c r="B27" s="2" t="s">
        <v>935</v>
      </c>
      <c r="K27" s="24" t="n">
        <f aca="false">K26*Parameters!B11</f>
        <v>7862301000</v>
      </c>
    </row>
    <row r="28" customFormat="false" ht="15" hidden="false" customHeight="false" outlineLevel="0" collapsed="false">
      <c r="B28" s="2" t="s">
        <v>936</v>
      </c>
      <c r="K28" s="21" t="n">
        <f aca="false">K26*Parameters!B4</f>
        <v>13010900000</v>
      </c>
    </row>
    <row r="30" customFormat="false" ht="15" hidden="false" customHeight="false" outlineLevel="0" collapsed="false">
      <c r="A30" s="2" t="s">
        <v>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2026-09-25T11:24:31Z</dcterms:created>
  <dc:creator>openpyxl</dc:creator>
  <dc:description/>
  <dc:language>en-US</dc:language>
  <cp:lastModifiedBy/>
  <dcterms:modified xsi:type="dcterms:W3CDTF">2026-09-25T11:24:31Z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
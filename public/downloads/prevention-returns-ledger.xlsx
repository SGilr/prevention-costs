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Ledger" sheetId="2" state="visible" r:id="rId4"/>
    <sheet name="Parameters" sheetId="3" state="visible" r:id="rId5"/>
    <sheet name="Scenarios" sheetId="4" state="visible" r:id="rId6"/>
  </sheets>
  <definedNames>
    <definedName function="false" hidden="true" localSheetId="1" name="_xlnm._FilterDatabase" vbProcedure="false">Ledger!$A$1:$T$88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<sst xmlns="http://schemas.openxmlformats.org/spreadsheetml/2006/main" count="1712" uniqueCount="941">
  <si>
    <t xml:space="preserve">Prevention Returns Ledger</t>
  </si>
  <si>
    <t xml:space="preserve">Oxon Advisory Prevention Informatics. Sources checked 27 September 2026.</t>
  </si>
  <si>
    <t xml:space="preserve">What this workbook holds</t>
  </si>
  <si>
    <t xml:space="preserve">Ledger</t>
  </si>
  <si>
    <t xml:space="preserve">Every harm cost, intervention, valuation parameter and forecast, one row each, with source, URL, price year and evidence grade. Filter with the header arrows.</t>
  </si>
  <si>
    <t xml:space="preserve">Parameters</t>
  </si>
  <si>
    <t xml:space="preserve">Official valuation values (QALY, WELLBY, NICE threshold, discount rates) and the ACE burden base. Blue cells are inputs you can change.</t>
  </si>
  <si>
    <t xml:space="preserve">Scenarios</t>
  </si>
  <si>
    <t xml:space="preserve">Applies each source's published ratio to a caseload or spend you enter in the yellow cells. Results are illustrative arithmetic on sourced parameters, not new estimates.</t>
  </si>
  <si>
    <t xml:space="preserve">Evidence grades</t>
  </si>
  <si>
    <t xml:space="preserve">A</t>
  </si>
  <si>
    <t xml:space="preserve">Official statistics, UK randomised trial or systematic review</t>
  </si>
  <si>
    <t xml:space="preserve">B</t>
  </si>
  <si>
    <t xml:space="preserve">Peer-reviewed cohort, quasi-experimental study or official evaluation</t>
  </si>
  <si>
    <t xml:space="preserve">C</t>
  </si>
  <si>
    <t xml:space="preserve">Modelled estimate (peer-reviewed, think tank or charity), or an international effect with no UK cost</t>
  </si>
  <si>
    <t xml:space="preserve">D</t>
  </si>
  <si>
    <t xml:space="preserve">Secondary citation; primary source not seen</t>
  </si>
  <si>
    <t xml:space="preserve">Colour conventions</t>
  </si>
  <si>
    <t xml:space="preserve">Blue text</t>
  </si>
  <si>
    <t xml:space="preserve">Hard-coded input taken from a source (change only if you have a better source)</t>
  </si>
  <si>
    <t xml:space="preserve">Yellow fill</t>
  </si>
  <si>
    <t xml:space="preserve">Your scenario input</t>
  </si>
  <si>
    <t xml:space="preserve">Black text</t>
  </si>
  <si>
    <t xml:space="preserve">Formula</t>
  </si>
  <si>
    <t xml:space="preserve">Green text</t>
  </si>
  <si>
    <t xml:space="preserve">Link to another sheet</t>
  </si>
  <si>
    <t xml:space="preserve">Handling rules</t>
  </si>
  <si>
    <t xml:space="preserve">Figures are not rebased to a common price year. Rebase before comparing across rows.</t>
  </si>
  <si>
    <t xml:space="preserve">Harm costs overlap heavily and must never be summed.</t>
  </si>
  <si>
    <t xml:space="preserve">Cash returns and QALY values come from different frameworks; combining them needs a stated assumption.</t>
  </si>
  <si>
    <t xml:space="preserve">Human security tags (want, fear, dignity) are Oxon Advisory's classification, not the sources'.</t>
  </si>
  <si>
    <t xml:space="preserve">Known gaps</t>
  </si>
  <si>
    <t xml:space="preserve">No verified cost estimate for children with a parent in prison (219,000 a year).</t>
  </si>
  <si>
    <t xml:space="preserve">No cost-effectiveness study for brain injury screening or linkworker support in justice settings.</t>
  </si>
  <si>
    <t xml:space="preserve">No UK cost-of-illness estimate for FASD, and no verified UK return for children's speech and language therapy.</t>
  </si>
  <si>
    <t xml:space="preserve">EIF's late intervention estimate has not been updated since 2016.</t>
  </si>
  <si>
    <t xml:space="preserve">Most youth violence effect sizes come from outside the UK; UK trials of MST, FFT and FNP were null or not cost-effective.</t>
  </si>
  <si>
    <t xml:space="preserve">Scotland, Wales and Northern Ireland are thin outside alcohol pricing and the CPIT trials.</t>
  </si>
  <si>
    <t xml:space="preserve">Few sources report QALYs; most report cash returns, so health and cash values cannot be combined without assumptions.</t>
  </si>
  <si>
    <t xml:space="preserve">ID</t>
  </si>
  <si>
    <t xml:space="preserve">Entry type</t>
  </si>
  <si>
    <t xml:space="preserve">Life stage</t>
  </si>
  <si>
    <t xml:space="preserve">Age band</t>
  </si>
  <si>
    <t xml:space="preserve">Neurodevelopmental window</t>
  </si>
  <si>
    <t xml:space="preserve">System</t>
  </si>
  <si>
    <t xml:space="preserve">Human security</t>
  </si>
  <si>
    <t xml:space="preserve">Item</t>
  </si>
  <si>
    <t xml:space="preserve">Measure</t>
  </si>
  <si>
    <t xml:space="preserve">Value</t>
  </si>
  <si>
    <t xml:space="preserve">Result</t>
  </si>
  <si>
    <t xml:space="preserve">Pays</t>
  </si>
  <si>
    <t xml:space="preserve">Benefits</t>
  </si>
  <si>
    <t xml:space="preserve">Grade</t>
  </si>
  <si>
    <t xml:space="preserve">Design</t>
  </si>
  <si>
    <t xml:space="preserve">Where</t>
  </si>
  <si>
    <t xml:space="preserve">Price year</t>
  </si>
  <si>
    <t xml:space="preserve">Source</t>
  </si>
  <si>
    <t xml:space="preserve">URL</t>
  </si>
  <si>
    <t xml:space="preserve">Note</t>
  </si>
  <si>
    <t xml:space="preserve">H01</t>
  </si>
  <si>
    <t xml:space="preserve">Harm cost</t>
  </si>
  <si>
    <t xml:space="preserve">Whole lifecourse</t>
  </si>
  <si>
    <t xml:space="preserve">and next generation</t>
  </si>
  <si>
    <t xml:space="preserve">Cross-system</t>
  </si>
  <si>
    <t xml:space="preserve">Freedom from want</t>
  </si>
  <si>
    <t xml:space="preserve">Late intervention spend (children and young people)</t>
  </si>
  <si>
    <t xml:space="preserve">State spend per year</t>
  </si>
  <si>
    <t xml:space="preserve">£16.6bn (nearly £17bn); £287 per person. LA £6.4bn, NHS £3.7bn, DWP £2.7bn</t>
  </si>
  <si>
    <t xml:space="preserve">Analysis of public spend</t>
  </si>
  <si>
    <t xml:space="preserve">England and Wales</t>
  </si>
  <si>
    <t xml:space="preserve">2016</t>
  </si>
  <si>
    <t xml:space="preserve">EIF, The cost of late intervention: EIF analysis 2016</t>
  </si>
  <si>
    <t xml:space="preserve">https://foundations.org.uk/our-work/publications/the-cost-of-late-intervention-eif-analysis-2016/</t>
  </si>
  <si>
    <t xml:space="preserve">Fiscal only. Excludes long-term cumulative and wider social costs. Not updated since 2016.</t>
  </si>
  <si>
    <t xml:space="preserve">H02</t>
  </si>
  <si>
    <t xml:space="preserve">Social care</t>
  </si>
  <si>
    <t xml:space="preserve">Children's services spend skewed to crisis</t>
  </si>
  <si>
    <t xml:space="preserve">Share of spend on late intervention</t>
  </si>
  <si>
    <t xml:space="preserve">£14.7bn in 2024/25, 82% on late intervention; early intervention &gt;40% below 15 years ago</t>
  </si>
  <si>
    <t xml:space="preserve">Analysis of LA outturn</t>
  </si>
  <si>
    <t xml:space="preserve">England</t>
  </si>
  <si>
    <t xml:space="preserve">2024/25</t>
  </si>
  <si>
    <t xml:space="preserve">Horton and Franklin (2026), Rebalancing the system, Pro Bono Economics</t>
  </si>
  <si>
    <t xml:space="preserve">https://learning.nspcc.org.uk/research-resources/childrens-services-spending-reports</t>
  </si>
  <si>
    <t xml:space="preserve">Children in care up 25% since 2011; average cost per child in care over £100,000 a year.</t>
  </si>
  <si>
    <t xml:space="preserve">H03</t>
  </si>
  <si>
    <t xml:space="preserve">Pregnancy</t>
  </si>
  <si>
    <t xml:space="preserve">−9 to 0 months</t>
  </si>
  <si>
    <t xml:space="preserve">Prenatal exposures</t>
  </si>
  <si>
    <t xml:space="preserve">Health</t>
  </si>
  <si>
    <t xml:space="preserve">Freedom to live in dignity</t>
  </si>
  <si>
    <t xml:space="preserve">Perinatal depression, anxiety and psychosis</t>
  </si>
  <si>
    <t xml:space="preserve">Long-term cost per annual birth cohort</t>
  </si>
  <si>
    <t xml:space="preserve">£8.1bn (≈£10,000 per birth); 72% relates to the child; £1.7bn public sector; £337m a year to meet guidance</t>
  </si>
  <si>
    <t xml:space="preserve">Cost model</t>
  </si>
  <si>
    <t xml:space="preserve">UK</t>
  </si>
  <si>
    <t xml:space="preserve">2014 report</t>
  </si>
  <si>
    <t xml:space="preserve">Bauer et al. (2014), LSE and Centre for Mental Health</t>
  </si>
  <si>
    <t xml:space="preserve">https://www.centreformentalhealth.org.uk/wp-content/uploads/2018/09/costsofperinatalsummary.pdf</t>
  </si>
  <si>
    <t xml:space="preserve">The clearest measured intergenerational cost in the UK literature. Critics note most of the total is not cash spend.</t>
  </si>
  <si>
    <t xml:space="preserve">H04</t>
  </si>
  <si>
    <t xml:space="preserve">Smoking in pregnancy</t>
  </si>
  <si>
    <t xml:space="preserve">Excess child health-care cost</t>
  </si>
  <si>
    <t xml:space="preserve">£91 per child at age 1; £222 by age 5; not significant by age 10</t>
  </si>
  <si>
    <t xml:space="preserve">Linked cohort (93,152 pregnancies)</t>
  </si>
  <si>
    <t xml:space="preserve">2015</t>
  </si>
  <si>
    <t xml:space="preserve">Vaz et al. (2018), Addiction</t>
  </si>
  <si>
    <t xml:space="preserve">https://doi.org/10.1111/add.14183</t>
  </si>
  <si>
    <t xml:space="preserve">Driven mainly by inpatient care. No total annual NHS cost verified.</t>
  </si>
  <si>
    <t xml:space="preserve">H05</t>
  </si>
  <si>
    <t xml:space="preserve">Neurodevelopmental conditions</t>
  </si>
  <si>
    <t xml:space="preserve">Fetal alcohol spectrum disorder (FASD)</t>
  </si>
  <si>
    <t xml:space="preserve">Prevalence</t>
  </si>
  <si>
    <t xml:space="preserve">1.8% (95% CI 1.0–3.4); 3.6% including possible cases. Screening estimates in ALSPAC 6–17%</t>
  </si>
  <si>
    <t xml:space="preserve">Active case ascertainment (n=220)</t>
  </si>
  <si>
    <t xml:space="preserve">Greater Manchester</t>
  </si>
  <si>
    <t xml:space="preserve">n/a</t>
  </si>
  <si>
    <t xml:space="preserve">McCarthy et al. (2021), ACER; McQuire et al. (2019), Prev Med</t>
  </si>
  <si>
    <t xml:space="preserve">https://doi.org/10.1111/acer.14705</t>
  </si>
  <si>
    <t xml:space="preserve">No case had been identified before. No UK cost-of-illness estimate verified. NICE QS204 (2022) sets standards.</t>
  </si>
  <si>
    <t xml:space="preserve">H06</t>
  </si>
  <si>
    <t xml:space="preserve">Attachment, language and self-regulation</t>
  </si>
  <si>
    <t xml:space="preserve">Preterm birth</t>
  </si>
  <si>
    <t xml:space="preserve">Public-sector cost to age 18 per birth cohort</t>
  </si>
  <si>
    <t xml:space="preserve">£2.946bn; £22,885 per preterm child; £94,740 extremely preterm</t>
  </si>
  <si>
    <t xml:space="preserve">Decision model</t>
  </si>
  <si>
    <t xml:space="preserve">2006</t>
  </si>
  <si>
    <t xml:space="preserve">Mangham et al. (2009), Pediatrics</t>
  </si>
  <si>
    <t xml:space="preserve">http://wrap.warwick.ac.uk/37026/</t>
  </si>
  <si>
    <t xml:space="preserve">92% of incremental cost is neonatal inpatient care. No UK update verified.</t>
  </si>
  <si>
    <t xml:space="preserve">H07</t>
  </si>
  <si>
    <t xml:space="preserve">Early years</t>
  </si>
  <si>
    <t xml:space="preserve">0–5</t>
  </si>
  <si>
    <t xml:space="preserve">Freedom from fear</t>
  </si>
  <si>
    <t xml:space="preserve">Child maltreatment and parental domestic abuse</t>
  </si>
  <si>
    <t xml:space="preserve">Lifetime societal cost</t>
  </si>
  <si>
    <t xml:space="preserve">£71,309 per child exposed; £27.8bn for the 2013 UK birth cohort</t>
  </si>
  <si>
    <t xml:space="preserve">Lifetime cost model</t>
  </si>
  <si>
    <t xml:space="preserve">2019</t>
  </si>
  <si>
    <t xml:space="preserve">Herbert et al. (2025), Child Abuse &amp; Neglect 163, 107435</t>
  </si>
  <si>
    <t xml:space="preserve">https://pubmed.ncbi.nlm.nih.gov/40168916/</t>
  </si>
  <si>
    <t xml:space="preserve">Includes cost of exposed children later perpetrating intimate partner violence. Co-occurring abuse costs more than either alone.</t>
  </si>
  <si>
    <t xml:space="preserve">H08</t>
  </si>
  <si>
    <t xml:space="preserve">Adverse childhood experiences (ACEs)</t>
  </si>
  <si>
    <t xml:space="preserve">Annual cost and DALYs attributable</t>
  </si>
  <si>
    <t xml:space="preserve">US$78.6bn a year (2.8% of GDP); 1,858,700 DALYs</t>
  </si>
  <si>
    <t xml:space="preserve">Meta-analysis and burden model</t>
  </si>
  <si>
    <t xml:space="preserve">2019 US$</t>
  </si>
  <si>
    <t xml:space="preserve">Hughes et al. (2021), Lancet Public Health</t>
  </si>
  <si>
    <t xml:space="preserve">https://www.sciencedirect.com/science/article/pii/S2468266721002322</t>
  </si>
  <si>
    <t xml:space="preserve">DALYs valued at GDP per capita (US$42,300 for the UK). Authors caution against cross-country comparison.</t>
  </si>
  <si>
    <t xml:space="preserve">H09</t>
  </si>
  <si>
    <t xml:space="preserve">Education</t>
  </si>
  <si>
    <t xml:space="preserve">Developmental language disorder (DLD)</t>
  </si>
  <si>
    <t xml:space="preserve">Prevalence at school entry</t>
  </si>
  <si>
    <t xml:space="preserve">7.58% (≈2 children per class of 30); 88% did not make expected academic progress</t>
  </si>
  <si>
    <t xml:space="preserve">Population survey (n=7,267 screened)</t>
  </si>
  <si>
    <t xml:space="preserve">Surrey</t>
  </si>
  <si>
    <t xml:space="preserve">Norbury et al. (2016), JCPP</t>
  </si>
  <si>
    <t xml:space="preserve">https://doi.org/10.1111/jcpp.12573</t>
  </si>
  <si>
    <t xml:space="preserve">No verified UK return figure for speech and language therapy for children.</t>
  </si>
  <si>
    <t xml:space="preserve">H10</t>
  </si>
  <si>
    <t xml:space="preserve">Middle childhood</t>
  </si>
  <si>
    <t xml:space="preserve">5–11</t>
  </si>
  <si>
    <t xml:space="preserve">Executive function, learning and behaviour</t>
  </si>
  <si>
    <t xml:space="preserve">Childhood conduct disorder</t>
  </si>
  <si>
    <t xml:space="preserve">Public service cost to age 28</t>
  </si>
  <si>
    <t xml:space="preserve">10 times higher than peers: £70,019 against £7,423 per person</t>
  </si>
  <si>
    <t xml:space="preserve">Cohort follow-up (n=142)</t>
  </si>
  <si>
    <t xml:space="preserve">Inner London</t>
  </si>
  <si>
    <t xml:space="preserve">1998</t>
  </si>
  <si>
    <t xml:space="preserve">Scott et al. (2001), BMJ</t>
  </si>
  <si>
    <t xml:space="preserve">https://pubmed.ncbi.nlm.nih.gov/11473907/</t>
  </si>
  <si>
    <t xml:space="preserve">Crime was the largest cost, then extra education, foster and residential care, and benefits.</t>
  </si>
  <si>
    <t xml:space="preserve">H11</t>
  </si>
  <si>
    <t xml:space="preserve">Economy and welfare</t>
  </si>
  <si>
    <t xml:space="preserve">Childhood bullying victimisation</t>
  </si>
  <si>
    <t xml:space="preserve">Costs at age 50</t>
  </si>
  <si>
    <t xml:space="preserve">Men: £271 a year higher employment-related costs. Women: £717 higher health service costs over 8 years</t>
  </si>
  <si>
    <t xml:space="preserve">1958 British birth cohort</t>
  </si>
  <si>
    <t xml:space="preserve">Great Britain</t>
  </si>
  <si>
    <t xml:space="preserve">2008</t>
  </si>
  <si>
    <t xml:space="preserve">Brimblecombe et al. (2018), Social Science &amp; Medicine</t>
  </si>
  <si>
    <t xml:space="preserve">https://doi.org/10.1016/j.socscimed.2018.05.014</t>
  </si>
  <si>
    <t xml:space="preserve">Bullied people were less often employed and held less wealth four decades later.</t>
  </si>
  <si>
    <t xml:space="preserve">H12</t>
  </si>
  <si>
    <t xml:space="preserve">Adolescence</t>
  </si>
  <si>
    <t xml:space="preserve">11–18</t>
  </si>
  <si>
    <t xml:space="preserve">Permanent school exclusion</t>
  </si>
  <si>
    <t xml:space="preserve">Lifetime cost to the state</t>
  </si>
  <si>
    <t xml:space="preserve">At least £170,000 per child; £1.6bn per annual cohort</t>
  </si>
  <si>
    <t xml:space="preserve">Think tank model</t>
  </si>
  <si>
    <t xml:space="preserve">2024</t>
  </si>
  <si>
    <t xml:space="preserve">IPPR and The Difference (2024)</t>
  </si>
  <si>
    <t xml:space="preserve">https://www.ippr.org/media-office/revealed-school-exclusions-and-suspensions-rise-by-a-fifth-last-year-finds-new-report</t>
  </si>
  <si>
    <t xml:space="preserve">Supersedes the widely quoted 2017 figure of £370,000.</t>
  </si>
  <si>
    <t xml:space="preserve">H13</t>
  </si>
  <si>
    <t xml:space="preserve">ADHD</t>
  </si>
  <si>
    <t xml:space="preserve">Avoidable economic cost</t>
  </si>
  <si>
    <t xml:space="preserve">At least £17bn; about £17,000 more per adult per year</t>
  </si>
  <si>
    <t>Danish registry sibling comparison, scaled to the UK adult population</t>
  </si>
  <si>
    <t xml:space="preserve">not stated</t>
  </si>
  <si>
    <t>NHS England, Independent ADHD Taskforce Part 1 (2025), converting Daley et al. (2019)</t>
  </si>
  <si>
    <t xml:space="preserve">https://www.england.nhs.uk/long-read/report-of-the-independent-adhd-taskforce-part-1/</t>
  </si>
  <si>
    <t>Daley et al. (2019) report in euros, from 2010 Danish register data: €20,135 more per adult with ADHD per year than a same-sex sibling (p.45), and €19,974m for the UK at 2.5% prevalence or €4,361m at 0.5% (Table 4, p.46), which the paper calls crude estimates. The Taskforce converted to pounds at an unstated rate and uses the higher prevalence. Taskforce links ADHD to early justice contact; 20–34% of NEET young people likely to have ADHD.</t>
  </si>
  <si>
    <t xml:space="preserve">H14</t>
  </si>
  <si>
    <t xml:space="preserve">Autism</t>
  </si>
  <si>
    <t xml:space="preserve">Lifetime cost per person</t>
  </si>
  <si>
    <t xml:space="preserve">£1.5m with intellectual disability; £0.92m without</t>
  </si>
  <si>
    <t xml:space="preserve">Literature-based model</t>
  </si>
  <si>
    <t xml:space="preserve">≈2011</t>
  </si>
  <si>
    <t xml:space="preserve">Buescher et al. (2014), JAMA Pediatrics</t>
  </si>
  <si>
    <t xml:space="preserve">https://doi.org/10.1001/jamapediatrics.2014.210</t>
  </si>
  <si>
    <t xml:space="preserve">In childhood the main costs are special education and lost parental productivity.</t>
  </si>
  <si>
    <t xml:space="preserve">H15</t>
  </si>
  <si>
    <t xml:space="preserve">Acquired brain injury</t>
  </si>
  <si>
    <t xml:space="preserve">Justice</t>
  </si>
  <si>
    <t xml:space="preserve">Traumatic brain injury in adolescence</t>
  </si>
  <si>
    <t xml:space="preserve">Lifetime cost per case at age 15</t>
  </si>
  <si>
    <t xml:space="preserve">£155,000 in the general population; £345,000 for a young person in a YOI</t>
  </si>
  <si>
    <t xml:space="preserve">≈2016</t>
  </si>
  <si>
    <t xml:space="preserve">Centre for Mental Health (2016), Traumatic brain injury and offending</t>
  </si>
  <si>
    <t xml:space="preserve">https://www.centreformentalhealth.org.uk/publications/traumatic-brain-injury-and-offending/</t>
  </si>
  <si>
    <t xml:space="preserve">Crime costs drive the difference (£60,000 against £250,000).</t>
  </si>
  <si>
    <t xml:space="preserve">H16</t>
  </si>
  <si>
    <t xml:space="preserve">Brain injury among children in custody</t>
  </si>
  <si>
    <t xml:space="preserve">82% reported at least one TBI; 44% with ongoing symptoms</t>
  </si>
  <si>
    <t xml:space="preserve">Cohort (93 males aged 15–18)</t>
  </si>
  <si>
    <t xml:space="preserve">Chitsabesan et al. (2015), J Head Trauma Rehabil</t>
  </si>
  <si>
    <t xml:space="preserve">https://doi.org/10.1097/HTR.0000000000000129</t>
  </si>
  <si>
    <t xml:space="preserve">International review range 16.5–72.1% (Hughes et al. 2015).</t>
  </si>
  <si>
    <t xml:space="preserve">H17</t>
  </si>
  <si>
    <t xml:space="preserve">Adulthood</t>
  </si>
  <si>
    <t xml:space="preserve">25+</t>
  </si>
  <si>
    <t xml:space="preserve">Brain injury among adults in prison</t>
  </si>
  <si>
    <t xml:space="preserve">65% of adult male prisoners report TBI (16% moderate to severe); 78% of women in Scottish prisons had significant head injury</t>
  </si>
  <si>
    <t xml:space="preserve">Surveys</t>
  </si>
  <si>
    <t xml:space="preserve">England; Scotland</t>
  </si>
  <si>
    <t xml:space="preserve">Williams et al. (2010), Brain Injury; McMillan et al. (2021), Lancet Psychiatry</t>
  </si>
  <si>
    <t xml:space="preserve">https://doi.org/10.3109/02699052.2010.495697</t>
  </si>
  <si>
    <t xml:space="preserve">Among women, injuries mostly linked to domestic abuse, often repeated.</t>
  </si>
  <si>
    <t xml:space="preserve">H18</t>
  </si>
  <si>
    <t>Acquired brain injury (traumatic brain injury, stroke and brain tumour)</t>
  </si>
  <si>
    <t xml:space="preserve">Annual cost to the economy</t>
  </si>
  <si>
    <t>£43bn: NHS and social care £20bn; productivity £21.5bn; justice and education £1.5bn; plus benefits £1.9bn, outside the total (transfers)</t>
  </si>
  <si>
    <t xml:space="preserve">Charity-commissioned model</t>
  </si>
  <si>
    <t xml:space="preserve">2025</t>
  </si>
  <si>
    <t xml:space="preserve">APPG on ABI and UKABIF (2025), The cost of acquired brain injury to the UK economy</t>
  </si>
  <si>
    <t xml:space="preserve">https://ukabif.org.uk/news/701354/Hidden-toll-of-brain-injury-costs-economy-43-billion-a-year-.htm</t>
  </si>
  <si>
    <t>Covers traumatic brain injury, stroke and brain tumour, about 85% of ABI episodes; other causes are not costed (p.9). The report calls the total both the lifetime costs of ABI in 2023/24 (p.9) and a typical year (p.25). Price bases are mixed. Wellbeing loss of £91.5bn a year reported separately (pp.5, 7).</t>
  </si>
  <si>
    <t xml:space="preserve">H19</t>
  </si>
  <si>
    <t xml:space="preserve">Residential care for children</t>
  </si>
  <si>
    <t xml:space="preserve">Unit cost per year</t>
  </si>
  <si>
    <t xml:space="preserve">Children's home £318,400 (£6,100 a week); foster care £38,100. £8.1bn LA spend for 83,630 looked-after children</t>
  </si>
  <si>
    <t xml:space="preserve">NAO audit</t>
  </si>
  <si>
    <t xml:space="preserve">2023/24</t>
  </si>
  <si>
    <t xml:space="preserve">NAO (2025), Managing children's residential care</t>
  </si>
  <si>
    <t xml:space="preserve">https://www.nao.org.uk/wp-content/uploads/2025/09/Managing-childrens-residential-care.pdf</t>
  </si>
  <si>
    <t xml:space="preserve">CMA (2022) found the largest providers earn materially higher profits than a working market would.</t>
  </si>
  <si>
    <t xml:space="preserve">H20</t>
  </si>
  <si>
    <t xml:space="preserve">Young adulthood</t>
  </si>
  <si>
    <t xml:space="preserve">18–25</t>
  </si>
  <si>
    <t xml:space="preserve">Adolescent social and emotional development</t>
  </si>
  <si>
    <t xml:space="preserve">Young people not in education, employment or training (NEET)</t>
  </si>
  <si>
    <t xml:space="preserve">Lifetime and annual cost</t>
  </si>
  <si>
    <t xml:space="preserve">£244,000 per additional NEET young person (lifetime, state). Almost 1m NEET: £125bn cumulative annual cost</t>
  </si>
  <si>
    <t xml:space="preserve">Think tank and review models</t>
  </si>
  <si>
    <t xml:space="preserve">England/UK</t>
  </si>
  <si>
    <t xml:space="preserve">2026</t>
  </si>
  <si>
    <t xml:space="preserve">Impetus (2026), Closing the Youth Jobs Gap; DWP, Young people and work: interim report (2026)</t>
  </si>
  <si>
    <t xml:space="preserve">https://www.gov.uk/government/publications/young-people-and-work-interim-report/young-people-and-work-interim-report</t>
  </si>
  <si>
    <t xml:space="preserve">Review found only about one in five NEET young people get meaningful employment support.</t>
  </si>
  <si>
    <t xml:space="preserve">H21</t>
  </si>
  <si>
    <t xml:space="preserve">Adult mental health, recovery and parenting</t>
  </si>
  <si>
    <t xml:space="preserve">Mental ill health</t>
  </si>
  <si>
    <t xml:space="preserve">Economic and social cost</t>
  </si>
  <si>
    <t xml:space="preserve">£300bn in 2022; £25bn falls on the state, £101bn on business, £175bn on people and families</t>
  </si>
  <si>
    <t xml:space="preserve">Cost-of-illness model</t>
  </si>
  <si>
    <t xml:space="preserve">2022</t>
  </si>
  <si>
    <t xml:space="preserve">Cardoso and McHayle (2024), Centre for Mental Health</t>
  </si>
  <si>
    <t xml:space="preserve">https://www.centreformentalhealth.org.uk/publications/the-economic-and-social-costs-of-mental-ill-health/</t>
  </si>
  <si>
    <t xml:space="preserve">Excludes £2.1bn cost of mental ill health in prisons.</t>
  </si>
  <si>
    <t xml:space="preserve">H22</t>
  </si>
  <si>
    <t xml:space="preserve">Alcohol harm</t>
  </si>
  <si>
    <t xml:space="preserve">External cost per year</t>
  </si>
  <si>
    <t xml:space="preserve">£27.44bn: NHS £4.91bn; crime and justice £14.58bn; productivity £5.06bn; social services £2.89bn</t>
  </si>
  <si>
    <t xml:space="preserve">Cabinet Office method, updated</t>
  </si>
  <si>
    <t xml:space="preserve">Institute of Alcohol Studies (2024)</t>
  </si>
  <si>
    <t xml:space="preserve">https://www.ias.org.uk/factsheet/economy/</t>
  </si>
  <si>
    <t>Data year 2021/22; price base not stated for all components (methodology, pp.1–2). Contested: critics argue little falls directly on taxpayers and that this is a cost, not cost-benefit, analysis.</t>
  </si>
  <si>
    <t xml:space="preserve">H23</t>
  </si>
  <si>
    <t xml:space="preserve">Illicit drug use</t>
  </si>
  <si>
    <t xml:space="preserve">Cost to society per year</t>
  </si>
  <si>
    <t xml:space="preserve">Over £19bn: crime and justice £9.3bn; deaths £6.3bn; children's social care £0.6bn; treatment and prevention £0.6bn</t>
  </si>
  <si>
    <t xml:space="preserve">Independent government review</t>
  </si>
  <si>
    <t xml:space="preserve">2020/21</t>
  </si>
  <si>
    <t xml:space="preserve">Black (2021), Review of drugs part two, annexes</t>
  </si>
  <si>
    <t xml:space="preserve">https://assets.publishing.service.gov.uk/media/60eef5588fa8f50c768386fd/independent-review-of-drugs-part-2-annexes.pdf</t>
  </si>
  <si>
    <t>Cost year 2017/18; unpublished Public Health England analysis for England (Black 2020, Part One evidence pack, p.14). Spend on treatment is a small fraction of the harm it addresses.</t>
  </si>
  <si>
    <t xml:space="preserve">H24</t>
  </si>
  <si>
    <t xml:space="preserve">Smoking</t>
  </si>
  <si>
    <t xml:space="preserve">Cost to the public finances</t>
  </si>
  <si>
    <t xml:space="preserve">£16.9bn a year; net £9.1bn after £7.5bn tobacco tax and reduced pensions</t>
  </si>
  <si>
    <t xml:space="preserve">ASH, Economic impact of smoking</t>
  </si>
  <si>
    <t xml:space="preserve">https://ash.org.uk/key-topics/the-economic-impact-of-smoking</t>
  </si>
  <si>
    <t xml:space="preserve">Estimates have risen with each revision; method challenged by free-market critics.</t>
  </si>
  <si>
    <t xml:space="preserve">H25</t>
  </si>
  <si>
    <t xml:space="preserve">Obesity and overweight</t>
  </si>
  <si>
    <t xml:space="preserve">Annual cost</t>
  </si>
  <si>
    <t xml:space="preserve">£98bn, of which about £35bn falls on the state and wider society (NHS £19bn, productivity £16bn)</t>
  </si>
  <si>
    <t xml:space="preserve">Consultancy model</t>
  </si>
  <si>
    <t xml:space="preserve">2023</t>
  </si>
  <si>
    <t xml:space="preserve">Frontier Economics (2023), The rising cost of obesity in the UK</t>
  </si>
  <si>
    <t xml:space="preserve">https://www.frontier-economics.com/uk/en/news-and-insights/news/news-article-i20358-the-rising-cost-of-obesity-in-the-uk/</t>
  </si>
  <si>
    <t xml:space="preserve">A 2025 Frontier/Nesta revision reports £126bn including overweight; figures move with method.</t>
  </si>
  <si>
    <t xml:space="preserve">H26</t>
  </si>
  <si>
    <t xml:space="preserve">Child poverty</t>
  </si>
  <si>
    <t xml:space="preserve">£39.5bn: services £17.4bn; lost earnings £12.3bn; lost tax £5.0bn; benefits £1.6bn</t>
  </si>
  <si>
    <t xml:space="preserve">Hirsch (2023), The cost of child poverty in 2023, CPAG</t>
  </si>
  <si>
    <t xml:space="preserve">https://cpag.org.uk/news/official-child-poverty-statistics-350000-more-children-poverty-and-numbers-will-rise</t>
  </si>
  <si>
    <t xml:space="preserve">Most service cost falls on schools (£4.5bn), children's social services (£4.2bn) and health (£3.5bn).</t>
  </si>
  <si>
    <t xml:space="preserve">H27</t>
  </si>
  <si>
    <t xml:space="preserve">Housing</t>
  </si>
  <si>
    <t xml:space="preserve">Temporary accommodation for homeless households</t>
  </si>
  <si>
    <t xml:space="preserve">Council spend per year</t>
  </si>
  <si>
    <t xml:space="preserve">£2.84bn gross; £1.43bn net. More than doubled in five years</t>
  </si>
  <si>
    <t xml:space="preserve">Official outturn</t>
  </si>
  <si>
    <t xml:space="preserve">House of Commons Library, CBP-10421 (2026)</t>
  </si>
  <si>
    <t xml:space="preserve">https://commonslibrary.parliament.uk/research-briefings/cbp-10421/</t>
  </si>
  <si>
    <t xml:space="preserve">Councils' share of TA cost rose from 7.1% (2009/10) to 50.6% (2024/25).</t>
  </si>
  <si>
    <t xml:space="preserve">H28</t>
  </si>
  <si>
    <t xml:space="preserve">Domestic abuse</t>
  </si>
  <si>
    <t>£66bn; £34,015 per victim</t>
  </si>
  <si>
    <t xml:space="preserve">Home Office cost-of-crime method</t>
  </si>
  <si>
    <t xml:space="preserve">2016/17</t>
  </si>
  <si>
    <t xml:space="preserve">Home Office (2019); OSR correspondence on method</t>
  </si>
  <si>
    <t xml:space="preserve">https://osr.statisticsauthority.gov.uk/correspondence/reporting-the-costs-of-domestic-abuse</t>
  </si>
  <si>
    <t xml:space="preserve">Quality-of-life and output costs cover three years, so not a simple annual figure. Excludes child victims.</t>
  </si>
  <si>
    <t xml:space="preserve">H29</t>
  </si>
  <si>
    <t xml:space="preserve">Crime</t>
  </si>
  <si>
    <t xml:space="preserve">£61bn against individuals; £17bn against businesses</t>
  </si>
  <si>
    <t xml:space="preserve">2019/20</t>
  </si>
  <si>
    <t xml:space="preserve">Home Office, Economic and social costs of crime 2019 to 2020</t>
  </si>
  <si>
    <t xml:space="preserve">https://www.gov.uk/government/publications/economic-and-social-costs-of-crime-2019-to-2020/economic-and-social-costs-of-crime-2019-to-2020</t>
  </si>
  <si>
    <t xml:space="preserve">Violent crime makes up most of the cost to individuals.</t>
  </si>
  <si>
    <t xml:space="preserve">H30</t>
  </si>
  <si>
    <t xml:space="preserve">Reoffending</t>
  </si>
  <si>
    <t xml:space="preserve">Cost per year</t>
  </si>
  <si>
    <t xml:space="preserve">£15.0–18.3bn by adults; £1.3–1.6bn by children and young people</t>
  </si>
  <si>
    <t xml:space="preserve">MoJ analytical report</t>
  </si>
  <si>
    <t xml:space="preserve">MoJ (2019), Economic and social costs of reoffending</t>
  </si>
  <si>
    <t xml:space="preserve">https://assets.publishing.service.gov.uk/media/5d1de7a4e5274a08d13a684e/economic-social-costs-reoffending.pdf</t>
  </si>
  <si>
    <t xml:space="preserve">H31</t>
  </si>
  <si>
    <t xml:space="preserve">Prison place</t>
  </si>
  <si>
    <t xml:space="preserve">Cost per place per year</t>
  </si>
  <si>
    <t xml:space="preserve">£59,026 overall resource; £39,454 direct</t>
  </si>
  <si>
    <t xml:space="preserve">Official statistics</t>
  </si>
  <si>
    <t xml:space="preserve">MoJ, Costs per place and costs per prisoner 2024 to 2025</t>
  </si>
  <si>
    <t xml:space="preserve">https://assets.publishing.service.gov.uk/media/69bbeea2f7b1c24d8e23ce44/costs-per-place-costs-per-prisoner-2024-2025-summary.pdf</t>
  </si>
  <si>
    <t xml:space="preserve">Secure children's homes about £271k and YOIs about £119k per child per year (CMO report, 2025).</t>
  </si>
  <si>
    <t xml:space="preserve">H32</t>
  </si>
  <si>
    <t xml:space="preserve">Children with a parent in prison</t>
  </si>
  <si>
    <t xml:space="preserve">Number per year</t>
  </si>
  <si>
    <t xml:space="preserve">219,000 children (≈2% of school-age children)</t>
  </si>
  <si>
    <t xml:space="preserve">Linked HMPPS and HMRC data</t>
  </si>
  <si>
    <t xml:space="preserve">Oct 2023–Oct 2024</t>
  </si>
  <si>
    <t xml:space="preserve">MoJ (2026), Updated estimates of children with a parent in prison</t>
  </si>
  <si>
    <t xml:space="preserve">https://www.gov.uk/government/publications/updated-estimates-of-children-with-a-parent-in-prison/transparency-data-updated-estimates-of-children-with-a-parent-in-prison</t>
  </si>
  <si>
    <t xml:space="preserve">No verified cost estimate exists for this group. A clear evidence gap.</t>
  </si>
  <si>
    <t xml:space="preserve">H33</t>
  </si>
  <si>
    <t xml:space="preserve">Recurrent care proceedings</t>
  </si>
  <si>
    <t xml:space="preserve">Probability of return to court</t>
  </si>
  <si>
    <t xml:space="preserve">27.1% of mothers within 10 years; 41.8% of those returning with a new baby were 14–19 at first birth</t>
  </si>
  <si>
    <t xml:space="preserve">Population Cafcass data</t>
  </si>
  <si>
    <t xml:space="preserve">2011/12–2020/21</t>
  </si>
  <si>
    <t xml:space="preserve">Nuffield Family Justice Observatory (2023)</t>
  </si>
  <si>
    <t xml:space="preserve">https://www.nuffieldfjo.org.uk/resource/mothers-in-recurrent-care-proceedings-new-evidence-for-england-and-wales</t>
  </si>
  <si>
    <t xml:space="preserve">Growth reflects more proceedings overall, not higher risk of recurrence.</t>
  </si>
  <si>
    <t xml:space="preserve">H34</t>
  </si>
  <si>
    <t xml:space="preserve">Children of care-experienced parents</t>
  </si>
  <si>
    <t xml:space="preserve">Outcomes against peers</t>
  </si>
  <si>
    <t xml:space="preserve">Self-harm 36% against 25%; depression 18% against 11%; mothers in poverty 47% against 24%</t>
  </si>
  <si>
    <t xml:space="preserve">1970 BCS and Millennium Cohort Study</t>
  </si>
  <si>
    <t xml:space="preserve">Parsons et al. (2023); UCL CLS policy briefing (2024)</t>
  </si>
  <si>
    <t xml:space="preserve">https://cls.ucl.ac.uk/wp-content/uploads/2017/02/Children-of-care-leavers-policy-briefing.pdf</t>
  </si>
  <si>
    <t xml:space="preserve">Children of resilient care-experienced mothers matched peers at GCSE (53% against 29% for other care leavers' children).</t>
  </si>
  <si>
    <t xml:space="preserve">H35</t>
  </si>
  <si>
    <t xml:space="preserve">Economic inactivity due to sickness</t>
  </si>
  <si>
    <t xml:space="preserve">Loss to the Exchequer</t>
  </si>
  <si>
    <t xml:space="preserve">At least £11.2bn a year</t>
  </si>
  <si>
    <t xml:space="preserve">Commission analysis using OBR estimates</t>
  </si>
  <si>
    <t xml:space="preserve">IPPR Commission on Health and Prosperity (2024), Our greatest asset</t>
  </si>
  <si>
    <t xml:space="preserve">https://ippr-org.files.svdcdn.com/production/Downloads/Our_greatest_asset_Sept24.pdf</t>
  </si>
  <si>
    <t xml:space="preserve">H36</t>
  </si>
  <si>
    <t xml:space="preserve">Community safety</t>
  </si>
  <si>
    <t xml:space="preserve">Serious youth violence</t>
  </si>
  <si>
    <t>About £1.3bn in 2018/19 (minimum £700m), up over 50% since 2014/15</t>
  </si>
  <si>
    <t xml:space="preserve">Academic estimate</t>
  </si>
  <si>
    <t xml:space="preserve">2018/19</t>
  </si>
  <si>
    <t>Youth Violence Commission (2020), Final report</t>
  </si>
  <si>
    <t>https://wrap.warwick.ac.uk/id/eprint/154072/</t>
  </si>
  <si>
    <t>In 2015/16 prices, using Home Office unit costs. £1.3bn adds violence not recorded by the police, estimated from the crime survey; £700m uses police-recorded crime only (pp.42, 52). Serious violence affecting children fell in 2024/25 on YEF's three core measures.</t>
  </si>
  <si>
    <t xml:space="preserve">I01</t>
  </si>
  <si>
    <t xml:space="preserve">Intervention</t>
  </si>
  <si>
    <t xml:space="preserve">Health visitor psychological support to prevent postnatal depression (PoNDER)</t>
  </si>
  <si>
    <t xml:space="preserve">Cost per QALY</t>
  </si>
  <si>
    <t xml:space="preserve">Dominant: £82 lower cost and +0.002 QALY at 6 months; 99% probability cost-effective at £20k</t>
  </si>
  <si>
    <t xml:space="preserve">Cost-saving</t>
  </si>
  <si>
    <t xml:space="preserve">NHS community health</t>
  </si>
  <si>
    <t xml:space="preserve">NHS; mother and infant</t>
  </si>
  <si>
    <t xml:space="preserve">Cluster RCT with economic evaluation</t>
  </si>
  <si>
    <t xml:space="preserve">England (Trent)</t>
  </si>
  <si>
    <t xml:space="preserve">Henderson et al. (2019), Psychological Medicine</t>
  </si>
  <si>
    <t xml:space="preserve">https://doi.org/10.1017/S0033291718001940</t>
  </si>
  <si>
    <t xml:space="preserve">Lower-risk postnatal women.</t>
  </si>
  <si>
    <t xml:space="preserve">I02</t>
  </si>
  <si>
    <t xml:space="preserve">Culturally adapted group therapy for postnatal depression (ROSHNI-2)</t>
  </si>
  <si>
    <t xml:space="preserve">£19,601 per QALY; +£712 cost, +0.036 QALY; 53% probability cost-effective at £20k, 77% at £30k</t>
  </si>
  <si>
    <t xml:space="preserve">Cost-effective</t>
  </si>
  <si>
    <t xml:space="preserve">NHS</t>
  </si>
  <si>
    <t xml:space="preserve">Mother, infant, NHS</t>
  </si>
  <si>
    <t xml:space="preserve">RCT economic evaluation, 12 months</t>
  </si>
  <si>
    <t xml:space="preserve">UK (British South Asian women)</t>
  </si>
  <si>
    <t xml:space="preserve">ROSHNI-2 economic evaluation (2025), Lancet Psychiatry</t>
  </si>
  <si>
    <t xml:space="preserve">https://www.sciencedirect.com/science/article/pii/S2215036625000392</t>
  </si>
  <si>
    <t xml:space="preserve">Within the 2026 NICE range of £25,000–£35,000.</t>
  </si>
  <si>
    <t xml:space="preserve">I03</t>
  </si>
  <si>
    <t xml:space="preserve">Financial incentives to stop smoking in pregnancy (CPIT II)</t>
  </si>
  <si>
    <t xml:space="preserve">Cost per quitter; lifetime cost per QALY</t>
  </si>
  <si>
    <t xml:space="preserve">£1,127 per quitter; £482 per QALY (lifetime)</t>
  </si>
  <si>
    <t xml:space="preserve">NHS maternity</t>
  </si>
  <si>
    <t xml:space="preserve">Phase II RCT plus Markov model</t>
  </si>
  <si>
    <t xml:space="preserve">Scotland (Glasgow)</t>
  </si>
  <si>
    <t xml:space="preserve">Boyd et al. (2016), Addiction</t>
  </si>
  <si>
    <t xml:space="preserve">https://doi.org/10.1111/add.13160</t>
  </si>
  <si>
    <t xml:space="preserve">Up to £400 in vouchers. Relapse after birth uncertain.</t>
  </si>
  <si>
    <t xml:space="preserve">I04</t>
  </si>
  <si>
    <t xml:space="preserve">Financial incentives to stop smoking in pregnancy (CPIT III)</t>
  </si>
  <si>
    <t xml:space="preserve">Short term £150,000 per QALY; lifetime cost-saving (£37) with +0.171 QALY for mother and infant</t>
  </si>
  <si>
    <t xml:space="preserve">Mother, infant, NHS over lifetime</t>
  </si>
  <si>
    <t xml:space="preserve">Multicentre RCT (n=944) plus lifetime model</t>
  </si>
  <si>
    <t xml:space="preserve">Scotland, England, Northern Ireland</t>
  </si>
  <si>
    <t xml:space="preserve">2020</t>
  </si>
  <si>
    <t xml:space="preserve">McMeekin et al. (2023), Addiction</t>
  </si>
  <si>
    <t xml:space="preserve">https://doi.org/10.1111/add.16176</t>
  </si>
  <si>
    <t xml:space="preserve">The short-horizon view hides the return, which comes from infant outcomes.</t>
  </si>
  <si>
    <t xml:space="preserve">I05</t>
  </si>
  <si>
    <t xml:space="preserve">Family Nurse Partnership (Building Blocks trial)</t>
  </si>
  <si>
    <t xml:space="preserve">Cost per QALY; outcomes</t>
  </si>
  <si>
    <t xml:space="preserve">+£1,812 per participant; +0.0036 QALY; below 20% probability cost-effective. No effect on 4 primary outcomes</t>
  </si>
  <si>
    <t xml:space="preserve">No effect in UK trial</t>
  </si>
  <si>
    <t xml:space="preserve">LA public health</t>
  </si>
  <si>
    <t xml:space="preserve">Pragmatic RCT; BB:2–6 follow-up</t>
  </si>
  <si>
    <t xml:space="preserve">2012/13</t>
  </si>
  <si>
    <t xml:space="preserve">Corbacho et al. (2017), J Eval Clin Pract; NIHR PHR 9(2)</t>
  </si>
  <si>
    <t xml:space="preserve">https://doi.org/10.1111/jep.12799</t>
  </si>
  <si>
    <t xml:space="preserve">Follow-up found better KS1 reading but no reduction in maltreatment or social care referrals.</t>
  </si>
  <si>
    <t xml:space="preserve">I06</t>
  </si>
  <si>
    <t xml:space="preserve">Incredible Years parenting programme</t>
  </si>
  <si>
    <t xml:space="preserve">Cost per child moved into non-clinical range</t>
  </si>
  <si>
    <t xml:space="preserve">£1,344 per child; delivery £1,289–£1,934 per child</t>
  </si>
  <si>
    <t xml:space="preserve">LA and NHS</t>
  </si>
  <si>
    <t xml:space="preserve">Family, schools, NHS, justice later</t>
  </si>
  <si>
    <t xml:space="preserve">RCT with cost-effectiveness analysis</t>
  </si>
  <si>
    <t xml:space="preserve">Wales (Sure Start areas)</t>
  </si>
  <si>
    <t xml:space="preserve">Edwards et al. (2007), BMJ</t>
  </si>
  <si>
    <t xml:space="preserve">https://doi.org/10.1136/bmj.39126.699421.55</t>
  </si>
  <si>
    <t xml:space="preserve">Most cost-effective for the most severe cases.</t>
  </si>
  <si>
    <t xml:space="preserve">I07</t>
  </si>
  <si>
    <t xml:space="preserve">Parenting programmes to prevent persistent conduct disorder</t>
  </si>
  <si>
    <t xml:space="preserve">Return; payback</t>
  </si>
  <si>
    <t xml:space="preserve">£1,177 per family; public-sector savings 2.8–6.1 times cost; societal savings £16,435 over 25 years; payback 5–8 years</t>
  </si>
  <si>
    <t xml:space="preserve">Pays back</t>
  </si>
  <si>
    <t xml:space="preserve">Education, health, social care, justice</t>
  </si>
  <si>
    <t xml:space="preserve">2008/09</t>
  </si>
  <si>
    <t xml:space="preserve">Bonin et al. (2011), BMC Public Health</t>
  </si>
  <si>
    <t xml:space="preserve">https://link.springer.com/article/10.1186/1471-2458-11-803</t>
  </si>
  <si>
    <t xml:space="preserve">Classic wrong-pocket case: savings spread across four systems.</t>
  </si>
  <si>
    <t xml:space="preserve">I08</t>
  </si>
  <si>
    <t xml:space="preserve">Integrated early years centres (Sure Start)</t>
  </si>
  <si>
    <t xml:space="preserve">Benefit per £1</t>
  </si>
  <si>
    <t xml:space="preserve">£2.05 total benefit per £1; £2.4bn to the Exchequer per cohort against £2.7bn peak annual cost (£0.6bn service savings plus £1.9bn tax)</t>
  </si>
  <si>
    <t xml:space="preserve">DfE and LAs</t>
  </si>
  <si>
    <t xml:space="preserve">NHS, SEND, social care, HM Treasury, children's earnings</t>
  </si>
  <si>
    <t xml:space="preserve">Quasi-experimental evaluation with cost-benefit</t>
  </si>
  <si>
    <t xml:space="preserve">IFS (2025), Sure Start's wide-ranging and long-lasting benefits</t>
  </si>
  <si>
    <t xml:space="preserve">https://ifs.org.uk/news/sure-starts-wide-ranging-and-long-lasting-benefits-highlight-impact-integrated-early-years</t>
  </si>
  <si>
    <t xml:space="preserve">Components as reported (£0.6bn plus £1.9bn; the source rounds to £2.4bn). Benefits largest in deprived areas and from early, better-funded centres.</t>
  </si>
  <si>
    <t xml:space="preserve">I09</t>
  </si>
  <si>
    <t xml:space="preserve">Parent-mediated communication therapy for autism (PACT)</t>
  </si>
  <si>
    <t xml:space="preserve">Incremental cost</t>
  </si>
  <si>
    <t xml:space="preserve">+£4,489 per child over 13 months (service perspective); cost-effectiveness not supported</t>
  </si>
  <si>
    <t xml:space="preserve">Uncertain</t>
  </si>
  <si>
    <t xml:space="preserve">RCT economic evaluation</t>
  </si>
  <si>
    <t xml:space="preserve">2006/07</t>
  </si>
  <si>
    <t xml:space="preserve">Byford et al. (2015), BMC Psychiatry</t>
  </si>
  <si>
    <t xml:space="preserve">https://link.springer.com/article/10.1186/s12888-015-0700-x</t>
  </si>
  <si>
    <t xml:space="preserve">Long-term follow-up had no economic analysis.</t>
  </si>
  <si>
    <t xml:space="preserve">I10</t>
  </si>
  <si>
    <t xml:space="preserve">School-based social and emotional learning</t>
  </si>
  <si>
    <t xml:space="preserve">Return per £1</t>
  </si>
  <si>
    <t xml:space="preserve">£5.05 per £1 over 7 years</t>
  </si>
  <si>
    <t xml:space="preserve">Schools</t>
  </si>
  <si>
    <t xml:space="preserve">Parents' employers, NHS</t>
  </si>
  <si>
    <t xml:space="preserve">McDaid, Park and Knapp (2017), for Public Health England</t>
  </si>
  <si>
    <t xml:space="preserve">https://www.lse.ac.uk/business/consulting/assets/documents/commissioning-cost-effective-services-for-promotion-of-mental-health-and-wellbeing-and-prevention-of-mental-ill-health.pdf</t>
  </si>
  <si>
    <t xml:space="preserve">Positive only when parents' absenteeism costs are counted.</t>
  </si>
  <si>
    <t xml:space="preserve">I11</t>
  </si>
  <si>
    <t xml:space="preserve">KiVa anti-bullying programme</t>
  </si>
  <si>
    <t xml:space="preserve">£1.58 per £1 over 4 years; £3.97–£5.58 including wage effects at 18</t>
  </si>
  <si>
    <t xml:space="preserve">NHS, pupils' future earnings</t>
  </si>
  <si>
    <t xml:space="preserve">England primary</t>
  </si>
  <si>
    <t xml:space="preserve">Net cost £4,658 per 200-pupil cohort.</t>
  </si>
  <si>
    <t xml:space="preserve">I12</t>
  </si>
  <si>
    <t xml:space="preserve">Social skills training</t>
  </si>
  <si>
    <t xml:space="preserve">Effect on crime</t>
  </si>
  <si>
    <t xml:space="preserve">−32% crime involvement (high confidence); PATHS about £11.52 per child per year</t>
  </si>
  <si>
    <t xml:space="preserve">Effective, low cost</t>
  </si>
  <si>
    <t xml:space="preserve">Community, justice</t>
  </si>
  <si>
    <t xml:space="preserve">Meta-analysis (YEF Toolkit)</t>
  </si>
  <si>
    <t xml:space="preserve">International</t>
  </si>
  <si>
    <t xml:space="preserve">Youth Endowment Fund Toolkit, Social skills training</t>
  </si>
  <si>
    <t xml:space="preserve">https://youthendowmentfund.org.uk/toolkit/social-skills-training/</t>
  </si>
  <si>
    <t xml:space="preserve">About a fifth of studies showed increases.</t>
  </si>
  <si>
    <t xml:space="preserve">I13</t>
  </si>
  <si>
    <t xml:space="preserve">Cognitive behavioural therapy for children at risk</t>
  </si>
  <si>
    <t xml:space="preserve">−27% crime on average (moderate confidence)</t>
  </si>
  <si>
    <t xml:space="preserve">Effective, cost unclear</t>
  </si>
  <si>
    <t xml:space="preserve">NHS, YJS</t>
  </si>
  <si>
    <t xml:space="preserve">Youth Endowment Fund Toolkit, CBT</t>
  </si>
  <si>
    <t xml:space="preserve">https://youthendowmentfund.org.uk/toolkit/cognitive-behavioural-therapy/</t>
  </si>
  <si>
    <t xml:space="preserve">UK studies show smaller effects than international ones.</t>
  </si>
  <si>
    <t xml:space="preserve">I14</t>
  </si>
  <si>
    <t xml:space="preserve">Mentoring</t>
  </si>
  <si>
    <t xml:space="preserve">Effect on violence</t>
  </si>
  <si>
    <t xml:space="preserve">−21% violence (moderate confidence); UK cost £11,903 per mentee (2001–04)</t>
  </si>
  <si>
    <t xml:space="preserve">LA, VCS, YJS</t>
  </si>
  <si>
    <t xml:space="preserve">International; UK costs</t>
  </si>
  <si>
    <t xml:space="preserve">2001–04 (cost)</t>
  </si>
  <si>
    <t xml:space="preserve">Youth Endowment Fund Toolkit, Mentoring</t>
  </si>
  <si>
    <t xml:space="preserve">https://youthendowmentfund.org.uk/toolkit/mentoring/</t>
  </si>
  <si>
    <t xml:space="preserve">I15</t>
  </si>
  <si>
    <t xml:space="preserve">Focused deterrence</t>
  </si>
  <si>
    <t xml:space="preserve">−33% (high confidence); about £1,200 (Northamptonshire) to £2,500 (Glasgow CIRV) per participant</t>
  </si>
  <si>
    <t xml:space="preserve">Police, LA</t>
  </si>
  <si>
    <t xml:space="preserve">Community, justice, NHS</t>
  </si>
  <si>
    <t xml:space="preserve">Meta-analysis (YEF Toolkit), mostly US</t>
  </si>
  <si>
    <t xml:space="preserve">Youth Endowment Fund Toolkit, Focused deterrence</t>
  </si>
  <si>
    <t xml:space="preserve">https://youthendowmentfund.org.uk/toolkit/focused-deterrence/</t>
  </si>
  <si>
    <t xml:space="preserve">UK multisite RCT under way; some researchers dispute transfer from US studies.</t>
  </si>
  <si>
    <t xml:space="preserve">I16</t>
  </si>
  <si>
    <t xml:space="preserve">Trauma-specific therapies</t>
  </si>
  <si>
    <t xml:space="preserve">−45% (very low confidence); £500–£1,500 per intervention</t>
  </si>
  <si>
    <t xml:space="preserve">Four small studies, none UK</t>
  </si>
  <si>
    <t xml:space="preserve">Youth Endowment Fund Toolkit, Trauma-specific therapies</t>
  </si>
  <si>
    <t xml:space="preserve">https://youthendowmentfund.org.uk/toolkit/trauma-specific-therapies/</t>
  </si>
  <si>
    <t xml:space="preserve">I17</t>
  </si>
  <si>
    <t xml:space="preserve">Pre-court diversion</t>
  </si>
  <si>
    <t xml:space="preserve">Effect on reoffending</t>
  </si>
  <si>
    <t xml:space="preserve">−13% reoffending (high confidence); low cost, likely saves money</t>
  </si>
  <si>
    <t xml:space="preserve">Police, YJS</t>
  </si>
  <si>
    <t xml:space="preserve">Courts, custody, community</t>
  </si>
  <si>
    <t xml:space="preserve">Mostly US</t>
  </si>
  <si>
    <t xml:space="preserve">Youth Endowment Fund Toolkit, Pre-court diversion</t>
  </si>
  <si>
    <t xml:space="preserve">https://youthendowmentfund.org.uk/toolkit/pre-court-diversion/</t>
  </si>
  <si>
    <t xml:space="preserve">I18</t>
  </si>
  <si>
    <t xml:space="preserve">Multisystemic Therapy (START trial)</t>
  </si>
  <si>
    <t xml:space="preserve">Out-of-home placement; cost</t>
  </si>
  <si>
    <t xml:space="preserve">13% against 11% (no significant difference); below 18% probability cost-effective</t>
  </si>
  <si>
    <t xml:space="preserve">LA</t>
  </si>
  <si>
    <t xml:space="preserve">RCT (n=684)</t>
  </si>
  <si>
    <t xml:space="preserve">Fonagy et al. (2018), Lancet Psychiatry</t>
  </si>
  <si>
    <t xml:space="preserve">https://pmc.ncbi.nlm.nih.gov/articles/PMC6697182/</t>
  </si>
  <si>
    <t xml:space="preserve">More offences in the MST arm at 18 months.</t>
  </si>
  <si>
    <t xml:space="preserve">I19</t>
  </si>
  <si>
    <t xml:space="preserve">Functional Family Therapy</t>
  </si>
  <si>
    <t xml:space="preserve">Offending</t>
  </si>
  <si>
    <t xml:space="preserve">No difference from usual care at 6 or 18 months</t>
  </si>
  <si>
    <t xml:space="preserve">YJS</t>
  </si>
  <si>
    <t xml:space="preserve">RCT (n=111)</t>
  </si>
  <si>
    <t xml:space="preserve">Humayun et al. (2017), JCPP</t>
  </si>
  <si>
    <t xml:space="preserve">https://doi.org/10.1111/jcpp.12743</t>
  </si>
  <si>
    <t xml:space="preserve">Small trial; no UK cost-benefit found.</t>
  </si>
  <si>
    <t xml:space="preserve">I20</t>
  </si>
  <si>
    <t xml:space="preserve">Violence Reduction Units (whole-system approach)</t>
  </si>
  <si>
    <t xml:space="preserve">Hospital admissions prevented</t>
  </si>
  <si>
    <t xml:space="preserve">≈3,220 admissions for violent injury prevented since 2019; no significant effect on sharp-object admissions or homicide</t>
  </si>
  <si>
    <t xml:space="preserve">Home Office</t>
  </si>
  <si>
    <t xml:space="preserve">NHS, community</t>
  </si>
  <si>
    <t xml:space="preserve">Quasi-experimental national evaluation</t>
  </si>
  <si>
    <t xml:space="preserve">2022/23</t>
  </si>
  <si>
    <t xml:space="preserve">Home Office (2023), Violence Reduction Units 2022 to 2023</t>
  </si>
  <si>
    <t xml:space="preserve">https://www.gov.uk/government/publications/violence-reduction-units-year-ending-march-2023-evaluation-report/violence-reduction-units-2022-to-2023</t>
  </si>
  <si>
    <t xml:space="preserve">Effects on the most serious violence may take longer to appear.</t>
  </si>
  <si>
    <t xml:space="preserve">I21</t>
  </si>
  <si>
    <t xml:space="preserve">ADHD medication</t>
  </si>
  <si>
    <t xml:space="preserve">Criminality during medicated periods</t>
  </si>
  <si>
    <t xml:space="preserve">−32% men; −41% women</t>
  </si>
  <si>
    <t xml:space="preserve">Justice, community</t>
  </si>
  <si>
    <t xml:space="preserve">Within-person register study (n=25,656)</t>
  </si>
  <si>
    <t xml:space="preserve">Sweden</t>
  </si>
  <si>
    <t xml:space="preserve">Lichtenstein et al. (2012), NEJM</t>
  </si>
  <si>
    <t xml:space="preserve">https://doi.org/10.1056/NEJMoa1203241</t>
  </si>
  <si>
    <t xml:space="preserve">Observational; not proof of causation. No UK cost analysis.</t>
  </si>
  <si>
    <t xml:space="preserve">I22</t>
  </si>
  <si>
    <t xml:space="preserve">Brain injury linkworker services in custody</t>
  </si>
  <si>
    <t xml:space="preserve">Case saving</t>
  </si>
  <si>
    <t xml:space="preserve">One case about £83,000 cheaper through rehabilitation than prison</t>
  </si>
  <si>
    <t xml:space="preserve">HMPPS, VCS</t>
  </si>
  <si>
    <t xml:space="preserve">Justice, NHS</t>
  </si>
  <si>
    <t xml:space="preserve">Case example in written evidence</t>
  </si>
  <si>
    <t xml:space="preserve">The Disabilities Trust, written evidence PRF0033</t>
  </si>
  <si>
    <t xml:space="preserve">https://committees.parliament.uk/writtenevidence/72380/html/</t>
  </si>
  <si>
    <t xml:space="preserve">No cost-effectiveness study found. A priority gap for Threshold.</t>
  </si>
  <si>
    <t xml:space="preserve">I23</t>
  </si>
  <si>
    <t xml:space="preserve">Youth work</t>
  </si>
  <si>
    <t xml:space="preserve">£3.20–£6.40 central (range £2.50–£7.80)</t>
  </si>
  <si>
    <t xml:space="preserve">LA, VCS</t>
  </si>
  <si>
    <t xml:space="preserve">Justice, NHS, economy</t>
  </si>
  <si>
    <t xml:space="preserve">Modelled estimate, self-described lower bound</t>
  </si>
  <si>
    <t xml:space="preserve">Frontier Economics for UK Youth (2022)</t>
  </si>
  <si>
    <t xml:space="preserve">https://www.ukyouth.org/wp-content/uploads/2022/11/Economic-Value-of-Youth-Work-Full-Report.pdf</t>
  </si>
  <si>
    <t xml:space="preserve">Limited causal evidence; 10-year horizon. Youth service spend fell about 73% since 2010/11.</t>
  </si>
  <si>
    <t xml:space="preserve">I24</t>
  </si>
  <si>
    <t xml:space="preserve">Early intervention in psychosis</t>
  </si>
  <si>
    <t xml:space="preserve">£15 per £1 over 10 years (secondary); £2,087 per person in employment and education gains over 3 years</t>
  </si>
  <si>
    <t xml:space="preserve">NHS mental health</t>
  </si>
  <si>
    <t xml:space="preserve">NHS, DWP, economy</t>
  </si>
  <si>
    <t xml:space="preserve">Secondary citation of NICE; Park et al. (2016) model</t>
  </si>
  <si>
    <t xml:space="preserve">Rethink Mental Illness briefing; Park, McCrone and Knapp (2016)</t>
  </si>
  <si>
    <t xml:space="preserve">https://doi.org/10.1111/eip.12149</t>
  </si>
  <si>
    <t>Park et al. figures are in 2009 prices (p.145); the £2,087 is reduced lost productivity over years 1 to 3 (Table 3, p.147). The primary source for £15 per £1 is not traced: NHS England (2023) repeats it without a citation.</t>
  </si>
  <si>
    <t xml:space="preserve">I25</t>
  </si>
  <si>
    <t xml:space="preserve">NHS Talking Therapies (IAPT)</t>
  </si>
  <si>
    <t xml:space="preserve">£16,857 (EQ-5D) to £29,500 (SF-6D)</t>
  </si>
  <si>
    <t xml:space="preserve">NHS, DWP, employers</t>
  </si>
  <si>
    <t xml:space="preserve">Observational comparison</t>
  </si>
  <si>
    <t xml:space="preserve">England (Doncaster)</t>
  </si>
  <si>
    <t xml:space="preserve">≈2007–09</t>
  </si>
  <si>
    <t xml:space="preserve">Mukuria et al. (2013), BJPsych</t>
  </si>
  <si>
    <t xml:space="preserve">https://doi.org/10.1192/bjp.bp.111.107888</t>
  </si>
  <si>
    <t xml:space="preserve">Large uncertainty.</t>
  </si>
  <si>
    <t xml:space="preserve">I26</t>
  </si>
  <si>
    <t xml:space="preserve">Liaison and Diversion services</t>
  </si>
  <si>
    <t xml:space="preserve">Cost and saving per referral</t>
  </si>
  <si>
    <t xml:space="preserve">£659 cost against £933 saving; likelihood of custody about halved; no effect on reoffending</t>
  </si>
  <si>
    <t xml:space="preserve">NHS England</t>
  </si>
  <si>
    <t xml:space="preserve">Courts, prisons</t>
  </si>
  <si>
    <t xml:space="preserve">Quasi-experimental evaluation</t>
  </si>
  <si>
    <t xml:space="preserve">RAND Europe (2021)</t>
  </si>
  <si>
    <t xml:space="preserve">https://www.rand.org/pubs/research_briefs/RBA1271-1.html</t>
  </si>
  <si>
    <t xml:space="preserve">Savings come from diversion from custody.</t>
  </si>
  <si>
    <t xml:space="preserve">I27</t>
  </si>
  <si>
    <t xml:space="preserve">Drug and alcohol treatment</t>
  </si>
  <si>
    <t xml:space="preserve">Drugs £4 per £1, £21 over 10 years; alcohol £3 per £1, £26 over 10 years</t>
  </si>
  <si>
    <t xml:space="preserve">Police, courts, NHS, children's services</t>
  </si>
  <si>
    <t xml:space="preserve">Government evidence summary</t>
  </si>
  <si>
    <t xml:space="preserve">2018</t>
  </si>
  <si>
    <t xml:space="preserve">Public Health England (2018), Alcohol and drug prevention, treatment and recovery: why invest?</t>
  </si>
  <si>
    <t xml:space="preserve">https://www.gov.uk/government/publications/alcohol-and-drug-prevention-treatment-and-recovery-why-invest/alcohol-and-drug-prevention-treatment-and-recovery-why-invest</t>
  </si>
  <si>
    <t xml:space="preserve">An older NDTMS estimate gave £2.50 per £1.</t>
  </si>
  <si>
    <t xml:space="preserve">I28</t>
  </si>
  <si>
    <t xml:space="preserve">Multi-agency risk assessment conferences (MARAC)</t>
  </si>
  <si>
    <t xml:space="preserve">At least £6 of public money saved per £1 each year</t>
  </si>
  <si>
    <t xml:space="preserve">Police, NHS, LA</t>
  </si>
  <si>
    <t xml:space="preserve">Charity analysis</t>
  </si>
  <si>
    <t xml:space="preserve">2010</t>
  </si>
  <si>
    <t xml:space="preserve">CAADA/SafeLives (2010), Saving lives, saving money</t>
  </si>
  <si>
    <t xml:space="preserve">http://safelives.org.uk/research-policy-library/saving-lives-saving-money-report/</t>
  </si>
  <si>
    <t xml:space="preserve">Dated; direct agency costs only.</t>
  </si>
  <si>
    <t xml:space="preserve">I29</t>
  </si>
  <si>
    <t xml:space="preserve">Drive domestic abuse perpetrator programme</t>
  </si>
  <si>
    <t xml:space="preserve">Change in abuse</t>
  </si>
  <si>
    <t xml:space="preserve">Physical abuse −82%; harassment and stalking −75%; jealous and controlling behaviour −73%</t>
  </si>
  <si>
    <t xml:space="preserve">PCCs, LA</t>
  </si>
  <si>
    <t xml:space="preserve">Victims, children, police</t>
  </si>
  <si>
    <t xml:space="preserve">Independent evaluation (University of Bristol)</t>
  </si>
  <si>
    <t xml:space="preserve">2016–19</t>
  </si>
  <si>
    <t xml:space="preserve">SafeLives, Responding to perpetrators</t>
  </si>
  <si>
    <t xml:space="preserve">https://safelives.org.uk/about-domestic-abuse/responding-to-perpetrators/</t>
  </si>
  <si>
    <t xml:space="preserve">No cost data reported.</t>
  </si>
  <si>
    <t xml:space="preserve">I30</t>
  </si>
  <si>
    <t xml:space="preserve">Housing First</t>
  </si>
  <si>
    <t xml:space="preserve">Benefit-cost ratio</t>
  </si>
  <si>
    <t xml:space="preserve">Expected 2.1; observed 1.1 at 12 months; £10,915 per person housed per year</t>
  </si>
  <si>
    <t xml:space="preserve">LA, MHCLG</t>
  </si>
  <si>
    <t xml:space="preserve">NHS, justice, the person</t>
  </si>
  <si>
    <t xml:space="preserve">Official pilot evaluation</t>
  </si>
  <si>
    <t xml:space="preserve">England (3 regions)</t>
  </si>
  <si>
    <t xml:space="preserve">MHCLG (2024), Evaluation of the Housing First pilots: cost benefit analysis</t>
  </si>
  <si>
    <t xml:space="preserve">https://assets.publishing.service.gov.uk/media/671a6fea603993b7a8f75db5/Housing_First_Cost_Benefit_Analysis_Report.pdf</t>
  </si>
  <si>
    <t xml:space="preserve">Benefits combine service savings with monetised wellbeing.</t>
  </si>
  <si>
    <t xml:space="preserve">I31</t>
  </si>
  <si>
    <t xml:space="preserve">Individual Placement and Support (employment)</t>
  </si>
  <si>
    <t xml:space="preserve">Cost against saving</t>
  </si>
  <si>
    <t>£2,700 per person (one-off); about £3,000 a year saved in mental health service use</t>
  </si>
  <si>
    <t xml:space="preserve">NHS, DWP</t>
  </si>
  <si>
    <t xml:space="preserve">NHS, DWP, the person</t>
  </si>
  <si>
    <t>Charity economic analysis</t>
  </si>
  <si>
    <t>Parsonage, Grant and Stubbs (2016), Priorities for mental health: economic report for the NHS England Mental Health Taskforce</t>
  </si>
  <si>
    <t>https://www.centreformentalhealth.org.uk/wp-content/uploads/2018/09/priorities.pdf</t>
  </si>
  <si>
    <t xml:space="preserve">I32</t>
  </si>
  <si>
    <t xml:space="preserve">Pause (women who have had children removed)</t>
  </si>
  <si>
    <t xml:space="preserve">£4.50 per £1 over 4 years; £7.61 over 18 years; 14.4 fewer infants entering care per LA per year</t>
  </si>
  <si>
    <t xml:space="preserve">LA children's services</t>
  </si>
  <si>
    <t xml:space="preserve">LA, courts, the women and future children</t>
  </si>
  <si>
    <t xml:space="preserve">DfE-funded evaluation</t>
  </si>
  <si>
    <t xml:space="preserve">Boddy et al. (2020), Evaluation of Pause, DfE Children's Social Care Innovation Programme</t>
  </si>
  <si>
    <t xml:space="preserve">https://assets.publishing.service.gov.uk/media/5fa2d5e2d3bf7f03b3ee4925/Pause_-_Sussex.pdf</t>
  </si>
  <si>
    <t xml:space="preserve">Based on five continuously operating practices. Savings depend on assumptions about avoided removals.</t>
  </si>
  <si>
    <t xml:space="preserve">I33</t>
  </si>
  <si>
    <t xml:space="preserve">Minimum unit pricing for alcohol</t>
  </si>
  <si>
    <t xml:space="preserve">Deaths and admissions</t>
  </si>
  <si>
    <t xml:space="preserve">Deaths wholly attributable to alcohol −13.4% (≈156 a year); admissions −4.1% (not statistically significant); largest falls in most deprived areas</t>
  </si>
  <si>
    <t xml:space="preserve">Legislation</t>
  </si>
  <si>
    <t xml:space="preserve">NHS, families, deprived areas</t>
  </si>
  <si>
    <t xml:space="preserve">Controlled interrupted time series</t>
  </si>
  <si>
    <t xml:space="preserve">Scotland</t>
  </si>
  <si>
    <t xml:space="preserve">2018–2020</t>
  </si>
  <si>
    <t xml:space="preserve">Public Health Scotland (2023); Wyper et al. (2023), Lancet</t>
  </si>
  <si>
    <t xml:space="preserve">https://pmc.ncbi.nlm.nih.gov/articles/PMC10154457/</t>
  </si>
  <si>
    <t xml:space="preserve">Not in force in England.</t>
  </si>
  <si>
    <t xml:space="preserve">I34</t>
  </si>
  <si>
    <t xml:space="preserve">Public health interventions (all types)</t>
  </si>
  <si>
    <t xml:space="preserve">Median return per £1</t>
  </si>
  <si>
    <t xml:space="preserve">14.3 overall; 4.1 local; 27.2 national; legislation highest</t>
  </si>
  <si>
    <t xml:space="preserve">Public health</t>
  </si>
  <si>
    <t xml:space="preserve">NHS and wider economy</t>
  </si>
  <si>
    <t xml:space="preserve">Systematic review (52 studies)</t>
  </si>
  <si>
    <t xml:space="preserve">High-income countries</t>
  </si>
  <si>
    <t xml:space="preserve">various</t>
  </si>
  <si>
    <t xml:space="preserve">Masters et al. (2017), J Epidemiol Community Health</t>
  </si>
  <si>
    <t xml:space="preserve">https://pubmed.ncbi.nlm.nih.gov/28356325/</t>
  </si>
  <si>
    <t xml:space="preserve">Heterogeneous methods; medians, not predictions for any one programme.</t>
  </si>
  <si>
    <t xml:space="preserve">I35</t>
  </si>
  <si>
    <t xml:space="preserve">Local public health grant (marginal spend)</t>
  </si>
  <si>
    <t xml:space="preserve">Cost per year of good health</t>
  </si>
  <si>
    <t xml:space="preserve">£3,800 against £13,500 through NHS interventions</t>
  </si>
  <si>
    <t xml:space="preserve">DHSC to LAs</t>
  </si>
  <si>
    <t xml:space="preserve">NHS, population</t>
  </si>
  <si>
    <t xml:space="preserve">Analysis citing marginal productivity studies</t>
  </si>
  <si>
    <t xml:space="preserve">Health Foundation (2025), Investing in the public health grant</t>
  </si>
  <si>
    <t xml:space="preserve">https://www.health.org.uk/reports-and-analysis/analysis/investing-in-the-public-health-grant</t>
  </si>
  <si>
    <t xml:space="preserve">Grant cut about 26–28% per person in real terms since 2015/16.</t>
  </si>
  <si>
    <t xml:space="preserve">P01</t>
  </si>
  <si>
    <t xml:space="preserve">Valuation parameter</t>
  </si>
  <si>
    <t xml:space="preserve">Valuation</t>
  </si>
  <si>
    <t xml:space="preserve">Value of a QALY (HM Treasury)</t>
  </si>
  <si>
    <t xml:space="preserve">£ per QALY</t>
  </si>
  <si>
    <t xml:space="preserve">£70,000</t>
  </si>
  <si>
    <t xml:space="preserve">Green Book guidance</t>
  </si>
  <si>
    <t xml:space="preserve">HM Treasury Green Book (2022), Annex 1, para A1.63 (hosted copy)</t>
  </si>
  <si>
    <t xml:space="preserve">https://www.ohe.org/wp-content/uploads/2020/08/The_Green_Book.pdf</t>
  </si>
  <si>
    <t xml:space="preserve">Used to value health in social cost-benefit analysis. Differs from NICE's threshold, which is an opportunity cost.</t>
  </si>
  <si>
    <t xml:space="preserve">P02</t>
  </si>
  <si>
    <t xml:space="preserve">Value of a WELLBY</t>
  </si>
  <si>
    <t xml:space="preserve">£ per point of life satisfaction per year</t>
  </si>
  <si>
    <t xml:space="preserve">£13,000 (range £10,000–£16,000)</t>
  </si>
  <si>
    <t xml:space="preserve">Supplementary Green Book guidance</t>
  </si>
  <si>
    <t xml:space="preserve">HM Treasury (2021), Wellbeing guidance for appraisal</t>
  </si>
  <si>
    <t xml:space="preserve">https://assets.publishing.service.gov.uk/media/60fa9169d3bf7f0448719daf/Wellbeing_guidance_for_appraisal_-_supplementary_Green_Book_guidance.pdf</t>
  </si>
  <si>
    <t xml:space="preserve">Suits prevention outcomes that do not map neatly onto health states.</t>
  </si>
  <si>
    <t xml:space="preserve">P03</t>
  </si>
  <si>
    <t xml:space="preserve">NICE cost-effectiveness threshold</t>
  </si>
  <si>
    <t xml:space="preserve">£25,000–£35,000 from April 2026 (was £20,000–£30,000)</t>
  </si>
  <si>
    <t xml:space="preserve">NICE announcement</t>
  </si>
  <si>
    <t xml:space="preserve">NICE (2025), Changes to NICE's cost-effectiveness thresholds confirmed</t>
  </si>
  <si>
    <t xml:space="preserve">https://www.nice.org.uk/news/articles/changes-to-nice-s-cost-effectiveness-thresholds-confirmed</t>
  </si>
  <si>
    <t xml:space="preserve">P04</t>
  </si>
  <si>
    <t xml:space="preserve">Discount rates</t>
  </si>
  <si>
    <t xml:space="preserve">Annual rate</t>
  </si>
  <si>
    <t xml:space="preserve">Standard 3.5% (years 1–30), 3.0% (31–75); health 1.5% (years 1–30)</t>
  </si>
  <si>
    <t xml:space="preserve">Green Book supplementary guidance</t>
  </si>
  <si>
    <t xml:space="preserve">HM Treasury (2026), Discounting guidance</t>
  </si>
  <si>
    <t xml:space="preserve">https://assets.publishing.service.gov.uk/media/698488ab2df808759a7bd70f/Green_Book_supplementary_guidance_-_discounting.pdf</t>
  </si>
  <si>
    <t xml:space="preserve">Discounting shrinks returns that arrive decades later, which is where much prevention value sits.</t>
  </si>
  <si>
    <t xml:space="preserve">P05</t>
  </si>
  <si>
    <t xml:space="preserve">Proposed discount rate reform</t>
  </si>
  <si>
    <t xml:space="preserve">Single 3% rate (years 0–30); separate health rate abolished</t>
  </si>
  <si>
    <t xml:space="preserve">Independent review, not yet policy</t>
  </si>
  <si>
    <t xml:space="preserve">June 2026</t>
  </si>
  <si>
    <t xml:space="preserve">Green Book Discount Rate Review: summary of findings and recommendations (2026)</t>
  </si>
  <si>
    <t xml:space="preserve">https://assets.publishing.service.gov.uk/media/6a43915e7ac6fd9c6a94abbe/Findings_and_Recommendations_-_Green_Book_Discount_Rate_Review.pdf</t>
  </si>
  <si>
    <t xml:space="preserve">Run as a sensitivity test only.</t>
  </si>
  <si>
    <t xml:space="preserve">P06</t>
  </si>
  <si>
    <t xml:space="preserve">UK DALYs by risk factor (GBD 2021)</t>
  </si>
  <si>
    <t xml:space="preserve">DALYs per year</t>
  </si>
  <si>
    <t xml:space="preserve">Mental ill-health 1.45m; tobacco 1.4m; diet 1.05m; alcohol 562,015; physical inactivity 210,970</t>
  </si>
  <si>
    <t xml:space="preserve">Peer-reviewed analysis of GBD 2021</t>
  </si>
  <si>
    <t xml:space="preserve">2021</t>
  </si>
  <si>
    <t xml:space="preserve">Owen and Taylor (2026), Journal of Public Health</t>
  </si>
  <si>
    <t xml:space="preserve">https://pmc.ncbi.nlm.nih.gov/articles/PMC13223565</t>
  </si>
  <si>
    <t xml:space="preserve">Risk-attributable burdens overlap and cannot be summed.</t>
  </si>
  <si>
    <t xml:space="preserve">P07</t>
  </si>
  <si>
    <t xml:space="preserve">Prevention share of health spend</t>
  </si>
  <si>
    <t xml:space="preserve">Share of spend</t>
  </si>
  <si>
    <t xml:space="preserve">5% (£8bn) on prevention against 60% (£97bn) on cure and rehabilitation</t>
  </si>
  <si>
    <t xml:space="preserve">Government policy paper</t>
  </si>
  <si>
    <t xml:space="preserve">DHSC (2018), Prevention is better than cure</t>
  </si>
  <si>
    <t xml:space="preserve">https://assets.publishing.service.gov.uk/government/uploads/system/uploads/attachment_data/file/753688/Prevention_is_better_than_cure_5-11.pdf</t>
  </si>
  <si>
    <t xml:space="preserve">How spend is split, not an estimate of how much is preventable.</t>
  </si>
  <si>
    <t xml:space="preserve">F01</t>
  </si>
  <si>
    <t xml:space="preserve">Forecast</t>
  </si>
  <si>
    <t xml:space="preserve">People living with major illness</t>
  </si>
  <si>
    <t xml:space="preserve">Projection to 2040</t>
  </si>
  <si>
    <t xml:space="preserve">9.1m by 2040, up 2.5m (37%); working-age population grows 4%</t>
  </si>
  <si>
    <t xml:space="preserve">Microsimulation</t>
  </si>
  <si>
    <t xml:space="preserve">Health Foundation REAL Centre (2023), Health in 2040</t>
  </si>
  <si>
    <t xml:space="preserve">https://www.health.org.uk/publications/health-in-2040</t>
  </si>
  <si>
    <t xml:space="preserve">F02</t>
  </si>
  <si>
    <t xml:space="preserve">Working-age people with major illness</t>
  </si>
  <si>
    <t xml:space="preserve">3.0m (2019) to 3.7m (2040); 80% of the rise in the more deprived half of areas</t>
  </si>
  <si>
    <t xml:space="preserve">Health Foundation press release (2023)</t>
  </si>
  <si>
    <t xml:space="preserve">https://www.health.org.uk/press-office/press-releases/700000-more-workers-are-projected-to-be-living-with-major-illness-by</t>
  </si>
  <si>
    <t xml:space="preserve">F03</t>
  </si>
  <si>
    <t xml:space="preserve">Health spending</t>
  </si>
  <si>
    <t xml:space="preserve">Share of GDP</t>
  </si>
  <si>
    <t xml:space="preserve">8% in 2030/31 rising to 13% by 2075/76 (about 9% without cost pressures)</t>
  </si>
  <si>
    <t xml:space="preserve">OBR long-term projection</t>
  </si>
  <si>
    <t xml:space="preserve">OBR (2026), Fiscal risks and sustainability</t>
  </si>
  <si>
    <t xml:space="preserve">https://assets.publishing.service.gov.uk/media/6a4cb4c74889d85e75ab40e0/E03599617_OBR_FRS_2026_Accessible.pdf</t>
  </si>
  <si>
    <t xml:space="preserve">F04</t>
  </si>
  <si>
    <t xml:space="preserve">Health-related welfare spending</t>
  </si>
  <si>
    <t xml:space="preserve">Risk scenario</t>
  </si>
  <si>
    <t xml:space="preserve">About £12bn higher in 2029/30 if incapacity onflows stay at current levels</t>
  </si>
  <si>
    <t xml:space="preserve">OBR risk scenario</t>
  </si>
  <si>
    <t xml:space="preserve">OBR (2025), Fiscal risks and sustainability</t>
  </si>
  <si>
    <t xml:space="preserve">https://obr.uk/frs/fiscal-risks-and-sustainability-july-2025/</t>
  </si>
  <si>
    <t xml:space="preserve">Onflows have doubled since the pandemic.</t>
  </si>
  <si>
    <t xml:space="preserve">F05</t>
  </si>
  <si>
    <t xml:space="preserve">SEND high-needs funding</t>
  </si>
  <si>
    <t xml:space="preserve">Funding gap</t>
  </si>
  <si>
    <t xml:space="preserve">Gap about £2.3bn by 2027/28; deficits about £5bn by March 2026; EHC plans 237,000 (2016) to 434,000 (2024)</t>
  </si>
  <si>
    <t xml:space="preserve">IFS analysis</t>
  </si>
  <si>
    <t xml:space="preserve">IFS (2025), Schools and colleges in the 2025 Spending Review</t>
  </si>
  <si>
    <t xml:space="preserve">https://ifs.org.uk/publications/schools-and-colleges-2025-spending-review</t>
  </si>
  <si>
    <t xml:space="preserve">The clearest neurodevelopmental pressure on public finances.</t>
  </si>
  <si>
    <t xml:space="preserve">F06</t>
  </si>
  <si>
    <t xml:space="preserve">Projection</t>
  </si>
  <si>
    <t xml:space="preserve">Could reach 4.3m by the end of this Parliament, from 2.8m</t>
  </si>
  <si>
    <t xml:space="preserve">Trend extrapolation</t>
  </si>
  <si>
    <t xml:space="preserve">IPPR Commission on Health and Prosperity (2024)</t>
  </si>
  <si>
    <t xml:space="preserve">F07</t>
  </si>
  <si>
    <t xml:space="preserve">Children in care</t>
  </si>
  <si>
    <t xml:space="preserve">Forecast against outturn</t>
  </si>
  <si>
    <t xml:space="preserve">Forecast almost 100,000 by 2025; actual 81,770 at 31 March 2025 (England)</t>
  </si>
  <si>
    <t xml:space="preserve">Projection (2022) checked against outturn</t>
  </si>
  <si>
    <t xml:space="preserve">2022; 2025</t>
  </si>
  <si>
    <t xml:space="preserve">County Councils Network (2022); YEF (2026), Beyond the Headlines</t>
  </si>
  <si>
    <t xml:space="preserve">https://youthendowmentfund.org.uk/reports/beyond-the-headlines-2026/</t>
  </si>
  <si>
    <t xml:space="preserve">Forecast overshot by about 18,000. Treat trend extrapolations with care.</t>
  </si>
  <si>
    <t xml:space="preserve">F08</t>
  </si>
  <si>
    <t xml:space="preserve">Cost of child poverty</t>
  </si>
  <si>
    <t xml:space="preserve">More than £40bn a year by 2027 in 2023 prices</t>
  </si>
  <si>
    <t xml:space="preserve">CPAG (2023), The cost of child poverty in 2023</t>
  </si>
  <si>
    <t xml:space="preserve">https://cpag.org.uk/news/cost-child-poverty-2023</t>
  </si>
  <si>
    <t xml:space="preserve">F09</t>
  </si>
  <si>
    <t xml:space="preserve">ACE reduction scenario</t>
  </si>
  <si>
    <t xml:space="preserve">Annual saving from a 10% fall in ACE prevalence</t>
  </si>
  <si>
    <t xml:space="preserve">3 million DALYs or US$105bn a year (Europe and North America)</t>
  </si>
  <si>
    <t xml:space="preserve">Europe and North America</t>
  </si>
  <si>
    <t xml:space="preserve">Bellis et al. (2019), Lancet Public Health</t>
  </si>
  <si>
    <t xml:space="preserve">https://www.thelancet.com/journals/lanpub/article/PIIS2468-2667(19)30145-8/fulltext</t>
  </si>
  <si>
    <t xml:space="preserve">Published scenario, not a UK forecast.</t>
  </si>
  <si>
    <t xml:space="preserve">Valuation parameters</t>
  </si>
  <si>
    <t xml:space="preserve">Parameter</t>
  </si>
  <si>
    <t xml:space="preserve">Unit</t>
  </si>
  <si>
    <t xml:space="preserve">Value of a QALY (HM Treasury Green Book)</t>
  </si>
  <si>
    <t xml:space="preserve">£ (2020/21 prices)</t>
  </si>
  <si>
    <t xml:space="preserve">HM Treasury Green Book 2022, Annex 1, A1.63</t>
  </si>
  <si>
    <t xml:space="preserve">Value of a WELLBY (central)</t>
  </si>
  <si>
    <t xml:space="preserve">£ (2019 prices)</t>
  </si>
  <si>
    <t xml:space="preserve">HM Treasury (2021) Wellbeing guidance for appraisal</t>
  </si>
  <si>
    <t xml:space="preserve">NICE threshold, lower (from April 2026)</t>
  </si>
  <si>
    <t xml:space="preserve">NICE (2025) Changes to cost-effectiveness thresholds</t>
  </si>
  <si>
    <t xml:space="preserve">NICE threshold, upper (from April 2026)</t>
  </si>
  <si>
    <t xml:space="preserve">Standard discount rate (years 1–30)</t>
  </si>
  <si>
    <t xml:space="preserve">per year</t>
  </si>
  <si>
    <t xml:space="preserve">HM Treasury (2026) Discounting guidance</t>
  </si>
  <si>
    <t xml:space="preserve">Health discount rate (years 1–30)</t>
  </si>
  <si>
    <t xml:space="preserve">UK DALYs attributable to ACEs</t>
  </si>
  <si>
    <t xml:space="preserve">Hughes et al. (2021) Lancet Public Health</t>
  </si>
  <si>
    <t xml:space="preserve">UK GDP per capita used to value DALYs</t>
  </si>
  <si>
    <t xml:space="preserve">US$ (2019)</t>
  </si>
  <si>
    <t xml:space="preserve">Scenario calculator</t>
  </si>
  <si>
    <t xml:space="preserve">Enter a caseload (unit-cost rows) or a spend in £ (ratio rows) in the yellow column. Returns apply the source's published ratio; horizon, perspective and price year differ by row.</t>
  </si>
  <si>
    <t xml:space="preserve">Basis</t>
  </si>
  <si>
    <t xml:space="preserve">Unit cost (£)</t>
  </si>
  <si>
    <t xml:space="preserve">Ratio low (£ per £1)</t>
  </si>
  <si>
    <t xml:space="preserve">Ratio high (£ per £1)</t>
  </si>
  <si>
    <t xml:space="preserve">Horizon</t>
  </si>
  <si>
    <t xml:space="preserve">Perspective</t>
  </si>
  <si>
    <t xml:space="preserve">Your input (caseload or £)</t>
  </si>
  <si>
    <t xml:space="preserve">Cost (£)</t>
  </si>
  <si>
    <t xml:space="preserve">Return low (£)</t>
  </si>
  <si>
    <t xml:space="preserve">Return high (£)</t>
  </si>
  <si>
    <t xml:space="preserve">Net low (£)</t>
  </si>
  <si>
    <t xml:space="preserve">Net high (£)</t>
  </si>
  <si>
    <t xml:space="preserve">Parenting programmes</t>
  </si>
  <si>
    <t xml:space="preserve">Per unit</t>
  </si>
  <si>
    <t xml:space="preserve">25 years</t>
  </si>
  <si>
    <t xml:space="preserve">Public sector</t>
  </si>
  <si>
    <t xml:space="preserve">Sure Start</t>
  </si>
  <si>
    <t xml:space="preserve">Per £ spent</t>
  </si>
  <si>
    <t xml:space="preserve">Childhood to adulthood</t>
  </si>
  <si>
    <t xml:space="preserve">Total (Exchequer ≈0.89)</t>
  </si>
  <si>
    <t xml:space="preserve">Social and emotional learning</t>
  </si>
  <si>
    <t xml:space="preserve">7 years</t>
  </si>
  <si>
    <t xml:space="preserve">Societal</t>
  </si>
  <si>
    <t xml:space="preserve">KiVa anti-bullying</t>
  </si>
  <si>
    <t xml:space="preserve">4 years (to age 18 with wages)</t>
  </si>
  <si>
    <t xml:space="preserve">10 years</t>
  </si>
  <si>
    <t xml:space="preserve">Liaison and Diversion</t>
  </si>
  <si>
    <t xml:space="preserve">Per referral</t>
  </si>
  <si>
    <t xml:space="preserve">Criminal justice</t>
  </si>
  <si>
    <t xml:space="preserve">1 to 10 years</t>
  </si>
  <si>
    <t xml:space="preserve">Public sector and society</t>
  </si>
  <si>
    <t xml:space="preserve">MARAC</t>
  </si>
  <si>
    <t xml:space="preserve">1 year</t>
  </si>
  <si>
    <t xml:space="preserve">Per year</t>
  </si>
  <si>
    <t xml:space="preserve">Public services and wellbeing</t>
  </si>
  <si>
    <t xml:space="preserve">Pause</t>
  </si>
  <si>
    <t xml:space="preserve">4 to 18 years</t>
  </si>
  <si>
    <t xml:space="preserve">Local authority</t>
  </si>
  <si>
    <t xml:space="preserve">Public health (review)</t>
  </si>
  <si>
    <t xml:space="preserve">Public sector and economy</t>
  </si>
  <si>
    <t xml:space="preserve">Valuing health gains</t>
  </si>
  <si>
    <t xml:space="preserve">QALYs gained</t>
  </si>
  <si>
    <t xml:space="preserve">Social value at Green Book rate</t>
  </si>
  <si>
    <t xml:space="preserve">Maximum NICE would normally accept (lower)</t>
  </si>
  <si>
    <t xml:space="preserve">Maximum NICE would normally accept (upper)</t>
  </si>
  <si>
    <t xml:space="preserve">ACE scenario (illustrative)</t>
  </si>
  <si>
    <t xml:space="preserve">Fall in ACE-attributable DALYs</t>
  </si>
  <si>
    <t xml:space="preserve">DALYs averted per year</t>
  </si>
  <si>
    <t xml:space="preserve">Value at UK GDP per capita (US$)</t>
  </si>
  <si>
    <t xml:space="preserve">Value at £70,000 per DALY (DALY treated as one QALY)</t>
  </si>
  <si>
    <t xml:space="preserve">Note: assumes burden falls in proportion to ACE prevalence, as Bellis et al. (2019) did for Europe and North America. DALYs and QALYs are different measures; the £70,000 conversion is a simplifying assumption.</t>
  </si>
  <si>
    <t>Tax revenue only: £4.5bn from the 900,000 rise in sickness inactivity since 2020 (IPPR, using the OBR's £5,000 per person), plus the OBR's £3.0bn for in-work ill-health and £3.7bn for indirect effects on other taxes (p.28, note 9). Excludes the rise in benefit spending, which the OBR put at £6.8bn in 2023-24.</t>
  </si>
  <si>
    <t>2015/16</t>
  </si>
  <si>
    <t>£3,000 a year is the lower end of the annualised savings (£3,000 to £4,000 a year) from three studies: £5,125 over 18 months, £20,000 over five years and £32,400 over ten years (p.34). Figures are in "today's prices", which the report does not define.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</si>
</sst>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%"/>
    <numFmt numFmtId="167" formatCode="\£#,##0"/>
    <numFmt numFmtId="168" formatCode="0.00"/>
    <numFmt numFmtId="169" formatCode="\£#,##0;&quot;(£&quot;#,##0\);\-"/>
    <numFmt numFmtId="170" formatCode="0%"/>
    <numFmt numFmtId="171" formatCode="&quot;US$&quot;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D2B4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D2B4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1F4E9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D2B4F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8D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D2B4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4E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99"/>
      <rgbColor rgb="FF1D2B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foundations.org.uk/our-work/publications/the-cost-of-late-intervention-eif-analysis-2016/" TargetMode="External"/><Relationship Id="rId2" Type="http://schemas.openxmlformats.org/officeDocument/2006/relationships/hyperlink" Target="https://learning.nspcc.org.uk/research-resources/childrens-services-spending-reports" TargetMode="External"/><Relationship Id="rId3" Type="http://schemas.openxmlformats.org/officeDocument/2006/relationships/hyperlink" Target="https://www.centreformentalhealth.org.uk/wp-content/uploads/2018/09/costsofperinatalsummary.pdf" TargetMode="External"/><Relationship Id="rId4" Type="http://schemas.openxmlformats.org/officeDocument/2006/relationships/hyperlink" Target="https://doi.org/10.1111/add.14183" TargetMode="External"/><Relationship Id="rId5" Type="http://schemas.openxmlformats.org/officeDocument/2006/relationships/hyperlink" Target="https://doi.org/10.1111/acer.14705" TargetMode="External"/><Relationship Id="rId6" Type="http://schemas.openxmlformats.org/officeDocument/2006/relationships/hyperlink" Target="http://wrap.warwick.ac.uk/37026/" TargetMode="External"/><Relationship Id="rId7" Type="http://schemas.openxmlformats.org/officeDocument/2006/relationships/hyperlink" Target="https://pubmed.ncbi.nlm.nih.gov/40168916/" TargetMode="External"/><Relationship Id="rId8" Type="http://schemas.openxmlformats.org/officeDocument/2006/relationships/hyperlink" Target="https://doi.org/10.1016/S2468-2667(21)00232-2" TargetMode="External"/><Relationship Id="rId9" Type="http://schemas.openxmlformats.org/officeDocument/2006/relationships/hyperlink" Target="https://doi.org/10.1111/jcpp.12573" TargetMode="External"/><Relationship Id="rId10" Type="http://schemas.openxmlformats.org/officeDocument/2006/relationships/hyperlink" Target="https://pubmed.ncbi.nlm.nih.gov/11473907/" TargetMode="External"/><Relationship Id="rId11" Type="http://schemas.openxmlformats.org/officeDocument/2006/relationships/hyperlink" Target="https://doi.org/10.1016/j.socscimed.2018.05.014" TargetMode="External"/><Relationship Id="rId12" Type="http://schemas.openxmlformats.org/officeDocument/2006/relationships/hyperlink" Target="https://www.ippr.org/media-office/revealed-school-exclusions-and-suspensions-rise-by-a-fifth-last-year-finds-new-report" TargetMode="External"/><Relationship Id="rId13" Type="http://schemas.openxmlformats.org/officeDocument/2006/relationships/hyperlink" Target="https://www.england.nhs.uk/long-read/report-of-the-independent-adhd-taskforce-part-1/" TargetMode="External"/><Relationship Id="rId14" Type="http://schemas.openxmlformats.org/officeDocument/2006/relationships/hyperlink" Target="https://doi.org/10.1001/jamapediatrics.2014.210" TargetMode="External"/><Relationship Id="rId15" Type="http://schemas.openxmlformats.org/officeDocument/2006/relationships/hyperlink" Target="https://www.centreformentalhealth.org.uk/publications/traumatic-brain-injury-and-offending/" TargetMode="External"/><Relationship Id="rId16" Type="http://schemas.openxmlformats.org/officeDocument/2006/relationships/hyperlink" Target="https://doi.org/10.1097/HTR.0000000000000129" TargetMode="External"/><Relationship Id="rId17" Type="http://schemas.openxmlformats.org/officeDocument/2006/relationships/hyperlink" Target="https://doi.org/10.3109/02699052.2010.495697" TargetMode="External"/><Relationship Id="rId18" Type="http://schemas.openxmlformats.org/officeDocument/2006/relationships/hyperlink" Target="https://ukabif.org.uk/news/701354/Hidden-toll-of-brain-injury-costs-economy-43-billion-a-year-.htm" TargetMode="External"/><Relationship Id="rId19" Type="http://schemas.openxmlformats.org/officeDocument/2006/relationships/hyperlink" Target="https://www.nao.org.uk/wp-content/uploads/2025/09/Managing-childrens-residential-care.pdf" TargetMode="External"/><Relationship Id="rId20" Type="http://schemas.openxmlformats.org/officeDocument/2006/relationships/hyperlink" Target="https://www.gov.uk/government/publications/young-people-and-work-interim-report/young-people-and-work-interim-report" TargetMode="External"/><Relationship Id="rId21" Type="http://schemas.openxmlformats.org/officeDocument/2006/relationships/hyperlink" Target="https://www.centreformentalhealth.org.uk/publications/the-economic-and-social-costs-of-mental-ill-health/" TargetMode="External"/><Relationship Id="rId22" Type="http://schemas.openxmlformats.org/officeDocument/2006/relationships/hyperlink" Target="https://www.ias.org.uk/factsheet/economy/" TargetMode="External"/><Relationship Id="rId23" Type="http://schemas.openxmlformats.org/officeDocument/2006/relationships/hyperlink" Target="https://assets.publishing.service.gov.uk/media/60eef5588fa8f50c768386fd/independent-review-of-drugs-part-2-annexes.pdf" TargetMode="External"/><Relationship Id="rId24" Type="http://schemas.openxmlformats.org/officeDocument/2006/relationships/hyperlink" Target="https://ash.org.uk/key-topics/the-economic-impact-of-smoking" TargetMode="External"/><Relationship Id="rId25" Type="http://schemas.openxmlformats.org/officeDocument/2006/relationships/hyperlink" Target="https://www.frontier-economics.com/uk/en/news-and-insights/news/news-article-i20358-the-rising-cost-of-obesity-in-the-uk/" TargetMode="External"/><Relationship Id="rId26" Type="http://schemas.openxmlformats.org/officeDocument/2006/relationships/hyperlink" Target="https://cpag.org.uk/news/official-child-poverty-statistics-350000-more-children-poverty-and-numbers-will-rise" TargetMode="External"/><Relationship Id="rId27" Type="http://schemas.openxmlformats.org/officeDocument/2006/relationships/hyperlink" Target="https://commonslibrary.parliament.uk/research-briefings/cbp-10421/" TargetMode="External"/><Relationship Id="rId28" Type="http://schemas.openxmlformats.org/officeDocument/2006/relationships/hyperlink" Target="https://osr.statisticsauthority.gov.uk/correspondence/reporting-the-costs-of-domestic-abuse" TargetMode="External"/><Relationship Id="rId29" Type="http://schemas.openxmlformats.org/officeDocument/2006/relationships/hyperlink" Target="https://www.gov.uk/government/publications/economic-and-social-costs-of-crime-2019-to-2020/economic-and-social-costs-of-crime-2019-to-2020" TargetMode="External"/><Relationship Id="rId30" Type="http://schemas.openxmlformats.org/officeDocument/2006/relationships/hyperlink" Target="https://assets.publishing.service.gov.uk/media/5d1de7a4e5274a08d13a684e/economic-social-costs-reoffending.pdf" TargetMode="External"/><Relationship Id="rId31" Type="http://schemas.openxmlformats.org/officeDocument/2006/relationships/hyperlink" Target="https://assets.publishing.service.gov.uk/media/69bbeea2f7b1c24d8e23ce44/costs-per-place-costs-per-prisoner-2024-2025-summary.pdf" TargetMode="External"/><Relationship Id="rId32" Type="http://schemas.openxmlformats.org/officeDocument/2006/relationships/hyperlink" Target="https://www.gov.uk/government/publications/updated-estimates-of-children-with-a-parent-in-prison/transparency-data-updated-estimates-of-children-with-a-parent-in-prison" TargetMode="External"/><Relationship Id="rId33" Type="http://schemas.openxmlformats.org/officeDocument/2006/relationships/hyperlink" Target="https://www.nuffieldfjo.org.uk/resource/mothers-in-recurrent-care-proceedings-new-evidence-for-england-and-wales" TargetMode="External"/><Relationship Id="rId34" Type="http://schemas.openxmlformats.org/officeDocument/2006/relationships/hyperlink" Target="https://cls.ucl.ac.uk/wp-content/uploads/2017/02/Children-of-care-leavers-policy-briefing.pdf" TargetMode="External"/><Relationship Id="rId35" Type="http://schemas.openxmlformats.org/officeDocument/2006/relationships/hyperlink" Target="https://ippr-org.files.svdcdn.com/production/Downloads/Our_greatest_asset_Sept24.pdf" TargetMode="External"/><Relationship Id="rId36" Type="http://schemas.openxmlformats.org/officeDocument/2006/relationships/hyperlink" Target="https://wrap.warwick.ac.uk/id/eprint/154072/" TargetMode="External"/><Relationship Id="rId37" Type="http://schemas.openxmlformats.org/officeDocument/2006/relationships/hyperlink" Target="https://doi.org/10.1017/S0033291718001940" TargetMode="External"/><Relationship Id="rId38" Type="http://schemas.openxmlformats.org/officeDocument/2006/relationships/hyperlink" Target="https://doi.org/10.1016/S2215-0366(25)00039-2" TargetMode="External"/><Relationship Id="rId39" Type="http://schemas.openxmlformats.org/officeDocument/2006/relationships/hyperlink" Target="https://doi.org/10.1111/add.13160" TargetMode="External"/><Relationship Id="rId40" Type="http://schemas.openxmlformats.org/officeDocument/2006/relationships/hyperlink" Target="https://doi.org/10.1111/add.16176" TargetMode="External"/><Relationship Id="rId41" Type="http://schemas.openxmlformats.org/officeDocument/2006/relationships/hyperlink" Target="https://doi.org/10.1111/jep.12799" TargetMode="External"/><Relationship Id="rId42" Type="http://schemas.openxmlformats.org/officeDocument/2006/relationships/hyperlink" Target="https://doi.org/10.1136/bmj.39126.699421.55" TargetMode="External"/><Relationship Id="rId43" Type="http://schemas.openxmlformats.org/officeDocument/2006/relationships/hyperlink" Target="https://link.springer.com/article/10.1186/1471-2458-11-803" TargetMode="External"/><Relationship Id="rId44" Type="http://schemas.openxmlformats.org/officeDocument/2006/relationships/hyperlink" Target="https://ifs.org.uk/news/sure-starts-wide-ranging-and-long-lasting-benefits-highlight-impact-integrated-early-years" TargetMode="External"/><Relationship Id="rId45" Type="http://schemas.openxmlformats.org/officeDocument/2006/relationships/hyperlink" Target="https://link.springer.com/article/10.1186/s12888-015-0700-x" TargetMode="External"/><Relationship Id="rId46" Type="http://schemas.openxmlformats.org/officeDocument/2006/relationships/hyperlink" Target="https://www.lse.ac.uk/business/consulting/assets/documents/commissioning-cost-effective-services-for-promotion-of-mental-health-and-wellbeing-and-prevention-of-mental-ill-health.pdf" TargetMode="External"/><Relationship Id="rId47" Type="http://schemas.openxmlformats.org/officeDocument/2006/relationships/hyperlink" Target="https://www.lse.ac.uk/business/consulting/assets/documents/commissioning-cost-effective-services-for-promotion-of-mental-health-and-wellbeing-and-prevention-of-mental-ill-health.pdf" TargetMode="External"/><Relationship Id="rId48" Type="http://schemas.openxmlformats.org/officeDocument/2006/relationships/hyperlink" Target="https://youthendowmentfund.org.uk/toolkit/social-skills-training/" TargetMode="External"/><Relationship Id="rId49" Type="http://schemas.openxmlformats.org/officeDocument/2006/relationships/hyperlink" Target="https://youthendowmentfund.org.uk/toolkit/cognitive-behavioural-therapy/" TargetMode="External"/><Relationship Id="rId50" Type="http://schemas.openxmlformats.org/officeDocument/2006/relationships/hyperlink" Target="https://youthendowmentfund.org.uk/toolkit/mentoring/" TargetMode="External"/><Relationship Id="rId51" Type="http://schemas.openxmlformats.org/officeDocument/2006/relationships/hyperlink" Target="https://youthendowmentfund.org.uk/toolkit/focused-deterrence/" TargetMode="External"/><Relationship Id="rId52" Type="http://schemas.openxmlformats.org/officeDocument/2006/relationships/hyperlink" Target="https://youthendowmentfund.org.uk/toolkit/trauma-specific-therapies/" TargetMode="External"/><Relationship Id="rId53" Type="http://schemas.openxmlformats.org/officeDocument/2006/relationships/hyperlink" Target="https://youthendowmentfund.org.uk/toolkit/formal-pre-court-diversion/" TargetMode="External"/><Relationship Id="rId54" Type="http://schemas.openxmlformats.org/officeDocument/2006/relationships/hyperlink" Target="https://pmc.ncbi.nlm.nih.gov/articles/PMC6697182/" TargetMode="External"/><Relationship Id="rId55" Type="http://schemas.openxmlformats.org/officeDocument/2006/relationships/hyperlink" Target="https://doi.org/10.1111/jcpp.12743" TargetMode="External"/><Relationship Id="rId56" Type="http://schemas.openxmlformats.org/officeDocument/2006/relationships/hyperlink" Target="https://www.gov.uk/government/publications/violence-reduction-units-year-ending-march-2023-evaluation-report/violence-reduction-units-2022-to-2023" TargetMode="External"/><Relationship Id="rId57" Type="http://schemas.openxmlformats.org/officeDocument/2006/relationships/hyperlink" Target="https://doi.org/10.1056/NEJMoa1203241" TargetMode="External"/><Relationship Id="rId58" Type="http://schemas.openxmlformats.org/officeDocument/2006/relationships/hyperlink" Target="https://committees.parliament.uk/writtenevidence/72380/html/" TargetMode="External"/><Relationship Id="rId59" Type="http://schemas.openxmlformats.org/officeDocument/2006/relationships/hyperlink" Target="https://www.ukyouth.org/wp-content/uploads/2022/11/Economic-Value-of-Youth-Work-Full-Report.pdf" TargetMode="External"/><Relationship Id="rId60" Type="http://schemas.openxmlformats.org/officeDocument/2006/relationships/hyperlink" Target="https://doi.org/10.1111/eip.12149" TargetMode="External"/><Relationship Id="rId61" Type="http://schemas.openxmlformats.org/officeDocument/2006/relationships/hyperlink" Target="https://doi.org/10.1192/bjp.bp.111.107888" TargetMode="External"/><Relationship Id="rId62" Type="http://schemas.openxmlformats.org/officeDocument/2006/relationships/hyperlink" Target="https://www.rand.org/pubs/research_briefs/RBA1271-1.html" TargetMode="External"/><Relationship Id="rId63" Type="http://schemas.openxmlformats.org/officeDocument/2006/relationships/hyperlink" Target="https://www.gov.uk/government/publications/alcohol-and-drug-prevention-treatment-and-recovery-why-invest/alcohol-and-drug-prevention-treatment-and-recovery-why-invest" TargetMode="External"/><Relationship Id="rId64" Type="http://schemas.openxmlformats.org/officeDocument/2006/relationships/hyperlink" Target="http://safelives.org.uk/research-policy-library/saving-lives-saving-money-report/" TargetMode="External"/><Relationship Id="rId65" Type="http://schemas.openxmlformats.org/officeDocument/2006/relationships/hyperlink" Target="https://safelives.org.uk/about-domestic-abuse/responding-to-perpetrators/" TargetMode="External"/><Relationship Id="rId66" Type="http://schemas.openxmlformats.org/officeDocument/2006/relationships/hyperlink" Target="https://assets.publishing.service.gov.uk/media/671a6fea603993b7a8f75db5/Housing_First_Cost_Benefit_Analysis_Report.pdf" TargetMode="External"/><Relationship Id="rId67" Type="http://schemas.openxmlformats.org/officeDocument/2006/relationships/hyperlink" Target="https://www.centreformentalhealth.org.uk/wp-content/uploads/2018/09/priorities.pdf" TargetMode="External"/><Relationship Id="rId68" Type="http://schemas.openxmlformats.org/officeDocument/2006/relationships/hyperlink" Target="https://assets.publishing.service.gov.uk/media/5fa2d5e2d3bf7f03b3ee4925/Pause_-_Sussex.pdf" TargetMode="External"/><Relationship Id="rId69" Type="http://schemas.openxmlformats.org/officeDocument/2006/relationships/hyperlink" Target="https://pmc.ncbi.nlm.nih.gov/articles/PMC10154457/" TargetMode="External"/><Relationship Id="rId70" Type="http://schemas.openxmlformats.org/officeDocument/2006/relationships/hyperlink" Target="https://pubmed.ncbi.nlm.nih.gov/28356325/" TargetMode="External"/><Relationship Id="rId71" Type="http://schemas.openxmlformats.org/officeDocument/2006/relationships/hyperlink" Target="https://www.health.org.uk/reports-and-analysis/analysis/investing-in-the-public-health-grant" TargetMode="External"/><Relationship Id="rId72" Type="http://schemas.openxmlformats.org/officeDocument/2006/relationships/hyperlink" Target="https://www.ohe.org/wp-content/uploads/2020/08/The_Green_Book.pdf" TargetMode="External"/><Relationship Id="rId73" Type="http://schemas.openxmlformats.org/officeDocument/2006/relationships/hyperlink" Target="https://assets.publishing.service.gov.uk/media/60fa9169d3bf7f0448719daf/Wellbeing_guidance_for_appraisal_-_supplementary_Green_Book_guidance.pdf" TargetMode="External"/><Relationship Id="rId74" Type="http://schemas.openxmlformats.org/officeDocument/2006/relationships/hyperlink" Target="https://www.nice.org.uk/news/articles/changes-to-nice-s-cost-effectiveness-thresholds-confirmed" TargetMode="External"/><Relationship Id="rId75" Type="http://schemas.openxmlformats.org/officeDocument/2006/relationships/hyperlink" Target="https://assets.publishing.service.gov.uk/media/698488ab2df808759a7bd70f/Green_Book_supplementary_guidance_-_discounting.pdf" TargetMode="External"/><Relationship Id="rId76" Type="http://schemas.openxmlformats.org/officeDocument/2006/relationships/hyperlink" Target="https://assets.publishing.service.gov.uk/media/6a43915e7ac6fd9c6a94abbe/Findings_and_Recommendations_-_Green_Book_Discount_Rate_Review.pdf" TargetMode="External"/><Relationship Id="rId77" Type="http://schemas.openxmlformats.org/officeDocument/2006/relationships/hyperlink" Target="https://pmc.ncbi.nlm.nih.gov/articles/PMC13223565" TargetMode="External"/><Relationship Id="rId78" Type="http://schemas.openxmlformats.org/officeDocument/2006/relationships/hyperlink" Target="https://assets.publishing.service.gov.uk/government/uploads/system/uploads/attachment_data/file/753688/Prevention_is_better_than_cure_5-11.pdf" TargetMode="External"/><Relationship Id="rId79" Type="http://schemas.openxmlformats.org/officeDocument/2006/relationships/hyperlink" Target="https://www.health.org.uk/reports-and-analysis/reports/health-in-2040-projected-patterns-of-illness-in-england" TargetMode="External"/><Relationship Id="rId80" Type="http://schemas.openxmlformats.org/officeDocument/2006/relationships/hyperlink" Target="https://www.health.org.uk/media-office/press-releases/700000-more-workers-are-projected-to-be-living-with-major-illness-by-2040" TargetMode="External"/><Relationship Id="rId81" Type="http://schemas.openxmlformats.org/officeDocument/2006/relationships/hyperlink" Target="https://assets.publishing.service.gov.uk/media/6a4cb4c74889d85e75ab40e0/E03599617_OBR_FRS_2026_Accessible.pdf" TargetMode="External"/><Relationship Id="rId82" Type="http://schemas.openxmlformats.org/officeDocument/2006/relationships/hyperlink" Target="https://obr.uk/frs/fiscal-risks-and-sustainability-july-2025/" TargetMode="External"/><Relationship Id="rId83" Type="http://schemas.openxmlformats.org/officeDocument/2006/relationships/hyperlink" Target="https://ifs.org.uk/publications/schools-and-colleges-2025-spending-review" TargetMode="External"/><Relationship Id="rId84" Type="http://schemas.openxmlformats.org/officeDocument/2006/relationships/hyperlink" Target="https://ippr-org.files.svdcdn.com/production/Downloads/Our_greatest_asset_Sept24.pdf" TargetMode="External"/><Relationship Id="rId85" Type="http://schemas.openxmlformats.org/officeDocument/2006/relationships/hyperlink" Target="https://youthendowmentfund.org.uk/reports/beyond-the-headlines-2026/" TargetMode="External"/><Relationship Id="rId86" Type="http://schemas.openxmlformats.org/officeDocument/2006/relationships/hyperlink" Target="https://cpag.org.uk/news/cost-child-poverty-2023" TargetMode="External"/><Relationship Id="rId87" Type="http://schemas.openxmlformats.org/officeDocument/2006/relationships/hyperlink" Target="https://www.thelancet.com/journals/lanpub/article/PIIS2468-2667(19)30145-8/fulltext" TargetMode="External"/><Relationship Id="rId88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3.85" hidden="false" customHeight="false" outlineLevel="0" collapsed="false">
      <c r="A5" s="4" t="s">
        <v>3</v>
      </c>
      <c r="B5" s="5" t="s">
        <v>4</v>
      </c>
    </row>
    <row r="6" customFormat="false" ht="23.85" hidden="false" customHeight="false" outlineLevel="0" collapsed="false">
      <c r="A6" s="4" t="s">
        <v>5</v>
      </c>
      <c r="B6" s="5" t="s">
        <v>6</v>
      </c>
    </row>
    <row r="7" customFormat="false" ht="23.85" hidden="false" customHeight="false" outlineLevel="0" collapsed="false">
      <c r="A7" s="4" t="s">
        <v>7</v>
      </c>
      <c r="B7" s="5" t="s">
        <v>8</v>
      </c>
    </row>
    <row r="9" customFormat="false" ht="15" hidden="false" customHeight="false" outlineLevel="0" collapsed="false">
      <c r="A9" s="3" t="s">
        <v>9</v>
      </c>
    </row>
    <row r="10" customFormat="false" ht="15" hidden="false" customHeight="false" outlineLevel="0" collapsed="false">
      <c r="A10" s="4" t="s">
        <v>10</v>
      </c>
      <c r="B10" s="5" t="s">
        <v>11</v>
      </c>
    </row>
    <row r="11" customFormat="false" ht="15" hidden="false" customHeight="false" outlineLevel="0" collapsed="false">
      <c r="A11" s="4" t="s">
        <v>12</v>
      </c>
      <c r="B11" s="5" t="s">
        <v>13</v>
      </c>
    </row>
    <row r="12" customFormat="false" ht="15" hidden="false" customHeight="false" outlineLevel="0" collapsed="false">
      <c r="A12" s="4" t="s">
        <v>14</v>
      </c>
      <c r="B12" s="5" t="s">
        <v>15</v>
      </c>
    </row>
    <row r="13" customFormat="false" ht="15" hidden="false" customHeight="false" outlineLevel="0" collapsed="false">
      <c r="A13" s="4" t="s">
        <v>16</v>
      </c>
      <c r="B13" s="5" t="s">
        <v>17</v>
      </c>
    </row>
    <row r="15" customFormat="false" ht="15" hidden="false" customHeight="false" outlineLevel="0" collapsed="false">
      <c r="A15" s="3" t="s">
        <v>18</v>
      </c>
    </row>
    <row r="16" customFormat="false" ht="15" hidden="false" customHeight="false" outlineLevel="0" collapsed="false">
      <c r="A16" s="4" t="s">
        <v>19</v>
      </c>
      <c r="B16" s="6" t="s">
        <v>20</v>
      </c>
    </row>
    <row r="17" customFormat="false" ht="15" hidden="false" customHeight="false" outlineLevel="0" collapsed="false">
      <c r="A17" s="4" t="s">
        <v>21</v>
      </c>
      <c r="B17" s="7" t="s">
        <v>22</v>
      </c>
    </row>
    <row r="18" customFormat="false" ht="15" hidden="false" customHeight="false" outlineLevel="0" collapsed="false">
      <c r="A18" s="4" t="s">
        <v>23</v>
      </c>
      <c r="B18" s="5" t="s">
        <v>24</v>
      </c>
    </row>
    <row r="19" customFormat="false" ht="15" hidden="false" customHeight="false" outlineLevel="0" collapsed="false">
      <c r="A19" s="4" t="s">
        <v>25</v>
      </c>
      <c r="B19" s="8" t="s">
        <v>26</v>
      </c>
    </row>
    <row r="21" customFormat="false" ht="15" hidden="false" customHeight="false" outlineLevel="0" collapsed="false">
      <c r="A21" s="3" t="s">
        <v>27</v>
      </c>
    </row>
    <row r="22" customFormat="false" ht="15" hidden="false" customHeight="false" outlineLevel="0" collapsed="false">
      <c r="A22" s="4"/>
      <c r="B22" s="5" t="s">
        <v>28</v>
      </c>
    </row>
    <row r="23" customFormat="false" ht="15" hidden="false" customHeight="false" outlineLevel="0" collapsed="false">
      <c r="A23" s="4"/>
      <c r="B23" s="5" t="s">
        <v>29</v>
      </c>
    </row>
    <row r="24" customFormat="false" ht="15" hidden="false" customHeight="false" outlineLevel="0" collapsed="false">
      <c r="A24" s="4"/>
      <c r="B24" s="5" t="s">
        <v>30</v>
      </c>
    </row>
    <row r="25" customFormat="false" ht="15" hidden="false" customHeight="false" outlineLevel="0" collapsed="false">
      <c r="A25" s="4"/>
      <c r="B25" s="5" t="s">
        <v>31</v>
      </c>
    </row>
    <row r="27" customFormat="false" ht="15" hidden="false" customHeight="false" outlineLevel="0" collapsed="false">
      <c r="A27" s="3" t="s">
        <v>32</v>
      </c>
    </row>
    <row r="28" customFormat="false" ht="15" hidden="false" customHeight="false" outlineLevel="0" collapsed="false">
      <c r="A28" s="4"/>
      <c r="B28" s="5" t="s">
        <v>33</v>
      </c>
    </row>
    <row r="29" customFormat="false" ht="15" hidden="false" customHeight="false" outlineLevel="0" collapsed="false">
      <c r="A29" s="4"/>
      <c r="B29" s="5" t="s">
        <v>34</v>
      </c>
    </row>
    <row r="30" customFormat="false" ht="15" hidden="false" customHeight="false" outlineLevel="0" collapsed="false">
      <c r="A30" s="4"/>
      <c r="B30" s="5" t="s">
        <v>35</v>
      </c>
    </row>
    <row r="31" customFormat="false" ht="15" hidden="false" customHeight="false" outlineLevel="0" collapsed="false">
      <c r="A31" s="4"/>
      <c r="B31" s="5" t="s">
        <v>36</v>
      </c>
    </row>
    <row r="32" customFormat="false" ht="15" hidden="false" customHeight="false" outlineLevel="0" collapsed="false">
      <c r="A32" s="4"/>
      <c r="B32" s="5" t="s">
        <v>37</v>
      </c>
    </row>
    <row r="33" customFormat="false" ht="15" hidden="false" customHeight="false" outlineLevel="0" collapsed="false">
      <c r="A33" s="4"/>
      <c r="B33" s="5" t="s">
        <v>38</v>
      </c>
    </row>
    <row r="34" customFormat="false" ht="15" hidden="false" customHeight="false" outlineLevel="0" collapsed="false">
      <c r="A34" s="4"/>
      <c r="B34" s="5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8" min="8" style="0" width="36"/>
    <col collapsed="false" customWidth="true" hidden="false" outlineLevel="0" max="9" min="9" style="0" width="28"/>
    <col collapsed="false" customWidth="true" hidden="false" outlineLevel="0" max="10" min="10" style="0" width="60"/>
    <col collapsed="false" customWidth="true" hidden="false" outlineLevel="0" max="11" min="11" style="0" width="20"/>
    <col collapsed="false" customWidth="true" hidden="false" outlineLevel="0" max="12" min="12" style="0" width="22"/>
    <col collapsed="false" customWidth="true" hidden="false" outlineLevel="0" max="13" min="13" style="0" width="28"/>
    <col collapsed="false" customWidth="true" hidden="false" outlineLevel="0" max="14" min="14" style="0" width="7"/>
    <col collapsed="false" customWidth="true" hidden="false" outlineLevel="0" max="15" min="15" style="0" width="30"/>
    <col collapsed="false" customWidth="true" hidden="false" outlineLevel="0" max="16" min="16" style="0" width="20"/>
    <col collapsed="false" customWidth="true" hidden="false" outlineLevel="0" max="17" min="17" style="0" width="12"/>
    <col collapsed="false" customWidth="true" hidden="false" outlineLevel="0" max="18" min="18" style="0" width="48"/>
    <col collapsed="false" customWidth="true" hidden="false" outlineLevel="0" max="19" min="19" style="0" width="40"/>
    <col collapsed="false" customWidth="true" hidden="false" outlineLevel="0" max="20" min="20" style="0" width="60"/>
  </cols>
  <sheetData>
    <row r="1" customFormat="false" ht="30" hidden="false" customHeight="true" outlineLevel="0" collapsed="false">
      <c r="A1" s="9" t="s">
        <v>40</v>
      </c>
      <c r="B1" s="9" t="s">
        <v>41</v>
      </c>
      <c r="C1" s="9" t="s">
        <v>42</v>
      </c>
      <c r="D1" s="9" t="s">
        <v>43</v>
      </c>
      <c r="E1" s="9" t="s">
        <v>44</v>
      </c>
      <c r="F1" s="9" t="s">
        <v>45</v>
      </c>
      <c r="G1" s="9" t="s">
        <v>46</v>
      </c>
      <c r="H1" s="9" t="s">
        <v>47</v>
      </c>
      <c r="I1" s="9" t="s">
        <v>48</v>
      </c>
      <c r="J1" s="9" t="s">
        <v>49</v>
      </c>
      <c r="K1" s="9" t="s">
        <v>50</v>
      </c>
      <c r="L1" s="9" t="s">
        <v>51</v>
      </c>
      <c r="M1" s="9" t="s">
        <v>52</v>
      </c>
      <c r="N1" s="9" t="s">
        <v>53</v>
      </c>
      <c r="O1" s="9" t="s">
        <v>54</v>
      </c>
      <c r="P1" s="9" t="s">
        <v>55</v>
      </c>
      <c r="Q1" s="9" t="s">
        <v>56</v>
      </c>
      <c r="R1" s="9" t="s">
        <v>57</v>
      </c>
      <c r="S1" s="9" t="s">
        <v>58</v>
      </c>
      <c r="T1" s="9" t="s">
        <v>59</v>
      </c>
    </row>
    <row r="2" customFormat="false" ht="23.85" hidden="false" customHeight="false" outlineLevel="0" collapsed="false">
      <c r="A2" s="10" t="s">
        <v>60</v>
      </c>
      <c r="B2" s="10" t="s">
        <v>61</v>
      </c>
      <c r="C2" s="10" t="s">
        <v>62</v>
      </c>
      <c r="D2" s="10" t="s">
        <v>63</v>
      </c>
      <c r="E2" s="10"/>
      <c r="F2" s="10" t="s">
        <v>64</v>
      </c>
      <c r="G2" s="10" t="s">
        <v>65</v>
      </c>
      <c r="H2" s="10" t="s">
        <v>66</v>
      </c>
      <c r="I2" s="10" t="s">
        <v>67</v>
      </c>
      <c r="J2" s="10" t="s">
        <v>68</v>
      </c>
      <c r="K2" s="10"/>
      <c r="L2" s="10"/>
      <c r="M2" s="10"/>
      <c r="N2" s="10" t="s">
        <v>12</v>
      </c>
      <c r="O2" s="10" t="s">
        <v>69</v>
      </c>
      <c r="P2" s="10" t="s">
        <v>70</v>
      </c>
      <c r="Q2" s="10" t="s">
        <v>335</v>
      </c>
      <c r="R2" s="10" t="s">
        <v>72</v>
      </c>
      <c r="S2" s="11" t="s">
        <v>73</v>
      </c>
      <c r="T2" s="10" t="s">
        <v>74</v>
      </c>
    </row>
    <row r="3" customFormat="false" ht="23.85" hidden="false" customHeight="false" outlineLevel="0" collapsed="false">
      <c r="A3" s="10" t="s">
        <v>75</v>
      </c>
      <c r="B3" s="10" t="s">
        <v>61</v>
      </c>
      <c r="C3" s="10" t="s">
        <v>62</v>
      </c>
      <c r="D3" s="10" t="s">
        <v>63</v>
      </c>
      <c r="E3" s="10"/>
      <c r="F3" s="10" t="s">
        <v>76</v>
      </c>
      <c r="G3" s="10" t="s">
        <v>65</v>
      </c>
      <c r="H3" s="10" t="s">
        <v>77</v>
      </c>
      <c r="I3" s="10" t="s">
        <v>78</v>
      </c>
      <c r="J3" s="10" t="s">
        <v>79</v>
      </c>
      <c r="K3" s="10"/>
      <c r="L3" s="10"/>
      <c r="M3" s="10"/>
      <c r="N3" s="10" t="s">
        <v>12</v>
      </c>
      <c r="O3" s="10" t="s">
        <v>80</v>
      </c>
      <c r="P3" s="10" t="s">
        <v>81</v>
      </c>
      <c r="Q3" s="10" t="s">
        <v>82</v>
      </c>
      <c r="R3" s="10" t="s">
        <v>83</v>
      </c>
      <c r="S3" s="11" t="s">
        <v>84</v>
      </c>
      <c r="T3" s="10" t="s">
        <v>85</v>
      </c>
    </row>
    <row r="4" customFormat="false" ht="23.85" hidden="false" customHeight="false" outlineLevel="0" collapsed="false">
      <c r="A4" s="10" t="s">
        <v>86</v>
      </c>
      <c r="B4" s="10" t="s">
        <v>61</v>
      </c>
      <c r="C4" s="10" t="s">
        <v>87</v>
      </c>
      <c r="D4" s="10" t="s">
        <v>88</v>
      </c>
      <c r="E4" s="10" t="s">
        <v>89</v>
      </c>
      <c r="F4" s="10" t="s">
        <v>90</v>
      </c>
      <c r="G4" s="10" t="s">
        <v>91</v>
      </c>
      <c r="H4" s="10" t="s">
        <v>92</v>
      </c>
      <c r="I4" s="10" t="s">
        <v>93</v>
      </c>
      <c r="J4" s="10" t="s">
        <v>94</v>
      </c>
      <c r="K4" s="10"/>
      <c r="L4" s="10"/>
      <c r="M4" s="10"/>
      <c r="N4" s="10" t="s">
        <v>14</v>
      </c>
      <c r="O4" s="10" t="s">
        <v>95</v>
      </c>
      <c r="P4" s="10" t="s">
        <v>96</v>
      </c>
      <c r="Q4" s="10" t="s">
        <v>97</v>
      </c>
      <c r="R4" s="10" t="s">
        <v>98</v>
      </c>
      <c r="S4" s="11" t="s">
        <v>99</v>
      </c>
      <c r="T4" s="10" t="s">
        <v>100</v>
      </c>
    </row>
    <row r="5" customFormat="false" ht="23.85" hidden="false" customHeight="false" outlineLevel="0" collapsed="false">
      <c r="A5" s="10" t="s">
        <v>101</v>
      </c>
      <c r="B5" s="10" t="s">
        <v>61</v>
      </c>
      <c r="C5" s="10" t="s">
        <v>87</v>
      </c>
      <c r="D5" s="10" t="s">
        <v>88</v>
      </c>
      <c r="E5" s="10" t="s">
        <v>89</v>
      </c>
      <c r="F5" s="10" t="s">
        <v>90</v>
      </c>
      <c r="G5" s="10" t="s">
        <v>91</v>
      </c>
      <c r="H5" s="10" t="s">
        <v>102</v>
      </c>
      <c r="I5" s="10" t="s">
        <v>103</v>
      </c>
      <c r="J5" s="10" t="s">
        <v>104</v>
      </c>
      <c r="K5" s="10"/>
      <c r="L5" s="10"/>
      <c r="M5" s="10"/>
      <c r="N5" s="10" t="s">
        <v>12</v>
      </c>
      <c r="O5" s="10" t="s">
        <v>105</v>
      </c>
      <c r="P5" s="10" t="s">
        <v>81</v>
      </c>
      <c r="Q5" s="10" t="s">
        <v>106</v>
      </c>
      <c r="R5" s="10" t="s">
        <v>107</v>
      </c>
      <c r="S5" s="11" t="s">
        <v>108</v>
      </c>
      <c r="T5" s="10" t="s">
        <v>109</v>
      </c>
    </row>
    <row r="6" customFormat="false" ht="23.85" hidden="false" customHeight="false" outlineLevel="0" collapsed="false">
      <c r="A6" s="10" t="s">
        <v>110</v>
      </c>
      <c r="B6" s="10" t="s">
        <v>61</v>
      </c>
      <c r="C6" s="10" t="s">
        <v>87</v>
      </c>
      <c r="D6" s="10" t="s">
        <v>88</v>
      </c>
      <c r="E6" s="10" t="s">
        <v>111</v>
      </c>
      <c r="F6" s="10" t="s">
        <v>90</v>
      </c>
      <c r="G6" s="10" t="s">
        <v>91</v>
      </c>
      <c r="H6" s="10" t="s">
        <v>112</v>
      </c>
      <c r="I6" s="10" t="s">
        <v>113</v>
      </c>
      <c r="J6" s="10" t="s">
        <v>114</v>
      </c>
      <c r="K6" s="10"/>
      <c r="L6" s="10"/>
      <c r="M6" s="10"/>
      <c r="N6" s="10" t="s">
        <v>12</v>
      </c>
      <c r="O6" s="10" t="s">
        <v>115</v>
      </c>
      <c r="P6" s="10" t="s">
        <v>116</v>
      </c>
      <c r="Q6" s="10" t="s">
        <v>117</v>
      </c>
      <c r="R6" s="10" t="s">
        <v>118</v>
      </c>
      <c r="S6" s="11" t="s">
        <v>119</v>
      </c>
      <c r="T6" s="10" t="s">
        <v>120</v>
      </c>
    </row>
    <row r="7" customFormat="false" ht="23.85" hidden="false" customHeight="false" outlineLevel="0" collapsed="false">
      <c r="A7" s="10" t="s">
        <v>121</v>
      </c>
      <c r="B7" s="10" t="s">
        <v>61</v>
      </c>
      <c r="C7" s="10" t="s">
        <v>87</v>
      </c>
      <c r="D7" s="10" t="s">
        <v>88</v>
      </c>
      <c r="E7" s="10" t="s">
        <v>122</v>
      </c>
      <c r="F7" s="10" t="s">
        <v>90</v>
      </c>
      <c r="G7" s="10" t="s">
        <v>91</v>
      </c>
      <c r="H7" s="10" t="s">
        <v>123</v>
      </c>
      <c r="I7" s="10" t="s">
        <v>124</v>
      </c>
      <c r="J7" s="10" t="s">
        <v>125</v>
      </c>
      <c r="K7" s="10"/>
      <c r="L7" s="10"/>
      <c r="M7" s="10"/>
      <c r="N7" s="10" t="s">
        <v>14</v>
      </c>
      <c r="O7" s="10" t="s">
        <v>126</v>
      </c>
      <c r="P7" s="10" t="s">
        <v>70</v>
      </c>
      <c r="Q7" s="10" t="s">
        <v>127</v>
      </c>
      <c r="R7" s="10" t="s">
        <v>128</v>
      </c>
      <c r="S7" s="11" t="s">
        <v>129</v>
      </c>
      <c r="T7" s="10" t="s">
        <v>130</v>
      </c>
    </row>
    <row r="8" customFormat="false" ht="23.85" hidden="false" customHeight="false" outlineLevel="0" collapsed="false">
      <c r="A8" s="10" t="s">
        <v>131</v>
      </c>
      <c r="B8" s="10" t="s">
        <v>61</v>
      </c>
      <c r="C8" s="10" t="s">
        <v>132</v>
      </c>
      <c r="D8" s="10" t="s">
        <v>133</v>
      </c>
      <c r="E8" s="10" t="s">
        <v>122</v>
      </c>
      <c r="F8" s="10" t="s">
        <v>76</v>
      </c>
      <c r="G8" s="10" t="s">
        <v>134</v>
      </c>
      <c r="H8" s="10" t="s">
        <v>135</v>
      </c>
      <c r="I8" s="10" t="s">
        <v>136</v>
      </c>
      <c r="J8" s="10" t="s">
        <v>137</v>
      </c>
      <c r="K8" s="10"/>
      <c r="L8" s="10"/>
      <c r="M8" s="10"/>
      <c r="N8" s="10" t="s">
        <v>14</v>
      </c>
      <c r="O8" s="10" t="s">
        <v>138</v>
      </c>
      <c r="P8" s="10" t="s">
        <v>96</v>
      </c>
      <c r="Q8" s="10" t="s">
        <v>139</v>
      </c>
      <c r="R8" s="10" t="s">
        <v>140</v>
      </c>
      <c r="S8" s="11" t="s">
        <v>141</v>
      </c>
      <c r="T8" s="10" t="s">
        <v>142</v>
      </c>
    </row>
    <row r="9" customFormat="false" ht="23.85" hidden="false" customHeight="false" outlineLevel="0" collapsed="false">
      <c r="A9" s="10" t="s">
        <v>143</v>
      </c>
      <c r="B9" s="10" t="s">
        <v>61</v>
      </c>
      <c r="C9" s="10" t="s">
        <v>62</v>
      </c>
      <c r="D9" s="10" t="s">
        <v>63</v>
      </c>
      <c r="E9" s="10"/>
      <c r="F9" s="10" t="s">
        <v>64</v>
      </c>
      <c r="G9" s="10" t="s">
        <v>134</v>
      </c>
      <c r="H9" s="10" t="s">
        <v>144</v>
      </c>
      <c r="I9" s="10" t="s">
        <v>145</v>
      </c>
      <c r="J9" s="10" t="s">
        <v>146</v>
      </c>
      <c r="K9" s="10"/>
      <c r="L9" s="10"/>
      <c r="M9" s="10"/>
      <c r="N9" s="10" t="s">
        <v>14</v>
      </c>
      <c r="O9" s="10" t="s">
        <v>147</v>
      </c>
      <c r="P9" s="10" t="s">
        <v>96</v>
      </c>
      <c r="Q9" s="10" t="s">
        <v>148</v>
      </c>
      <c r="R9" s="10" t="s">
        <v>149</v>
      </c>
      <c r="S9" s="11" t="inlineStr">
        <is>
          <t xml:space="preserve">https://doi.org/10.1016/S2468-2667(21)00232-2</t>
        </is>
      </c>
      <c r="T9" s="10" t="s">
        <v>151</v>
      </c>
    </row>
    <row r="10" customFormat="false" ht="23.85" hidden="false" customHeight="false" outlineLevel="0" collapsed="false">
      <c r="A10" s="10" t="s">
        <v>152</v>
      </c>
      <c r="B10" s="10" t="s">
        <v>61</v>
      </c>
      <c r="C10" s="10" t="s">
        <v>132</v>
      </c>
      <c r="D10" s="10" t="s">
        <v>133</v>
      </c>
      <c r="E10" s="10" t="s">
        <v>111</v>
      </c>
      <c r="F10" s="10" t="s">
        <v>153</v>
      </c>
      <c r="G10" s="10" t="s">
        <v>91</v>
      </c>
      <c r="H10" s="10" t="s">
        <v>154</v>
      </c>
      <c r="I10" s="10" t="s">
        <v>155</v>
      </c>
      <c r="J10" s="10" t="s">
        <v>156</v>
      </c>
      <c r="K10" s="10"/>
      <c r="L10" s="10"/>
      <c r="M10" s="10"/>
      <c r="N10" s="10" t="s">
        <v>12</v>
      </c>
      <c r="O10" s="10" t="s">
        <v>157</v>
      </c>
      <c r="P10" s="10" t="s">
        <v>158</v>
      </c>
      <c r="Q10" s="10" t="s">
        <v>117</v>
      </c>
      <c r="R10" s="10" t="s">
        <v>159</v>
      </c>
      <c r="S10" s="11" t="s">
        <v>160</v>
      </c>
      <c r="T10" s="10" t="s">
        <v>161</v>
      </c>
    </row>
    <row r="11" customFormat="false" ht="23.85" hidden="false" customHeight="false" outlineLevel="0" collapsed="false">
      <c r="A11" s="10" t="s">
        <v>162</v>
      </c>
      <c r="B11" s="10" t="s">
        <v>61</v>
      </c>
      <c r="C11" s="10" t="s">
        <v>163</v>
      </c>
      <c r="D11" s="10" t="s">
        <v>164</v>
      </c>
      <c r="E11" s="10" t="s">
        <v>165</v>
      </c>
      <c r="F11" s="10" t="s">
        <v>64</v>
      </c>
      <c r="G11" s="10" t="s">
        <v>134</v>
      </c>
      <c r="H11" s="10" t="s">
        <v>166</v>
      </c>
      <c r="I11" s="10" t="s">
        <v>167</v>
      </c>
      <c r="J11" s="10" t="s">
        <v>168</v>
      </c>
      <c r="K11" s="10"/>
      <c r="L11" s="10"/>
      <c r="M11" s="10"/>
      <c r="N11" s="10" t="s">
        <v>12</v>
      </c>
      <c r="O11" s="10" t="s">
        <v>169</v>
      </c>
      <c r="P11" s="10" t="s">
        <v>170</v>
      </c>
      <c r="Q11" s="10" t="s">
        <v>171</v>
      </c>
      <c r="R11" s="10" t="s">
        <v>172</v>
      </c>
      <c r="S11" s="11" t="s">
        <v>173</v>
      </c>
      <c r="T11" s="10" t="s">
        <v>174</v>
      </c>
    </row>
    <row r="12" customFormat="false" ht="23.85" hidden="false" customHeight="false" outlineLevel="0" collapsed="false">
      <c r="A12" s="10" t="s">
        <v>175</v>
      </c>
      <c r="B12" s="10" t="s">
        <v>61</v>
      </c>
      <c r="C12" s="10" t="s">
        <v>163</v>
      </c>
      <c r="D12" s="10" t="s">
        <v>164</v>
      </c>
      <c r="E12" s="10" t="s">
        <v>165</v>
      </c>
      <c r="F12" s="10" t="s">
        <v>176</v>
      </c>
      <c r="G12" s="10" t="s">
        <v>134</v>
      </c>
      <c r="H12" s="10" t="s">
        <v>177</v>
      </c>
      <c r="I12" s="10" t="s">
        <v>178</v>
      </c>
      <c r="J12" s="10" t="s">
        <v>179</v>
      </c>
      <c r="K12" s="10"/>
      <c r="L12" s="10"/>
      <c r="M12" s="10"/>
      <c r="N12" s="10" t="s">
        <v>12</v>
      </c>
      <c r="O12" s="10" t="s">
        <v>180</v>
      </c>
      <c r="P12" s="10" t="s">
        <v>181</v>
      </c>
      <c r="Q12" s="10" t="s">
        <v>182</v>
      </c>
      <c r="R12" s="10" t="s">
        <v>183</v>
      </c>
      <c r="S12" s="11" t="s">
        <v>184</v>
      </c>
      <c r="T12" s="10" t="s">
        <v>185</v>
      </c>
    </row>
    <row r="13" customFormat="false" ht="23.85" hidden="false" customHeight="false" outlineLevel="0" collapsed="false">
      <c r="A13" s="10" t="s">
        <v>186</v>
      </c>
      <c r="B13" s="10" t="s">
        <v>61</v>
      </c>
      <c r="C13" s="10" t="s">
        <v>187</v>
      </c>
      <c r="D13" s="10" t="s">
        <v>188</v>
      </c>
      <c r="E13" s="10" t="s">
        <v>165</v>
      </c>
      <c r="F13" s="10" t="s">
        <v>153</v>
      </c>
      <c r="G13" s="10" t="s">
        <v>65</v>
      </c>
      <c r="H13" s="10" t="s">
        <v>189</v>
      </c>
      <c r="I13" s="10" t="s">
        <v>190</v>
      </c>
      <c r="J13" s="10" t="s">
        <v>191</v>
      </c>
      <c r="K13" s="10"/>
      <c r="L13" s="10"/>
      <c r="M13" s="10"/>
      <c r="N13" s="10" t="s">
        <v>14</v>
      </c>
      <c r="O13" s="10" t="s">
        <v>192</v>
      </c>
      <c r="P13" s="10" t="s">
        <v>81</v>
      </c>
      <c r="Q13" s="10" t="s">
        <v>256</v>
      </c>
      <c r="R13" s="10" t="s">
        <v>194</v>
      </c>
      <c r="S13" s="11" t="s">
        <v>195</v>
      </c>
      <c r="T13" s="10" t="s">
        <v>196</v>
      </c>
    </row>
    <row r="14" customFormat="false" ht="23.85" hidden="false" customHeight="false" outlineLevel="0" collapsed="false">
      <c r="A14" s="10" t="s">
        <v>197</v>
      </c>
      <c r="B14" s="10" t="s">
        <v>61</v>
      </c>
      <c r="C14" s="10" t="s">
        <v>62</v>
      </c>
      <c r="D14" s="10" t="s">
        <v>63</v>
      </c>
      <c r="E14" s="10" t="s">
        <v>111</v>
      </c>
      <c r="F14" s="10" t="s">
        <v>64</v>
      </c>
      <c r="G14" s="10" t="s">
        <v>91</v>
      </c>
      <c r="H14" s="10" t="s">
        <v>198</v>
      </c>
      <c r="I14" s="10" t="s">
        <v>199</v>
      </c>
      <c r="J14" s="10" t="s">
        <v>200</v>
      </c>
      <c r="K14" s="10"/>
      <c r="L14" s="10"/>
      <c r="M14" s="10"/>
      <c r="N14" s="10" t="s">
        <v>14</v>
      </c>
      <c r="O14" s="10" t="s">
        <v>201</v>
      </c>
      <c r="P14" s="10" t="s">
        <v>96</v>
      </c>
      <c r="Q14" s="10" t="s">
        <v>202</v>
      </c>
      <c r="R14" s="10" t="s">
        <v>203</v>
      </c>
      <c r="S14" s="11" t="s">
        <v>204</v>
      </c>
      <c r="T14" s="10" t="s">
        <v>205</v>
      </c>
    </row>
    <row r="15" customFormat="false" ht="23.85" hidden="false" customHeight="false" outlineLevel="0" collapsed="false">
      <c r="A15" s="10" t="s">
        <v>206</v>
      </c>
      <c r="B15" s="10" t="s">
        <v>61</v>
      </c>
      <c r="C15" s="10" t="s">
        <v>62</v>
      </c>
      <c r="D15" s="10" t="s">
        <v>63</v>
      </c>
      <c r="E15" s="10" t="s">
        <v>111</v>
      </c>
      <c r="F15" s="10" t="s">
        <v>64</v>
      </c>
      <c r="G15" s="10" t="s">
        <v>91</v>
      </c>
      <c r="H15" s="10" t="s">
        <v>207</v>
      </c>
      <c r="I15" s="10" t="s">
        <v>208</v>
      </c>
      <c r="J15" s="10" t="s">
        <v>209</v>
      </c>
      <c r="K15" s="10"/>
      <c r="L15" s="10"/>
      <c r="M15" s="10"/>
      <c r="N15" s="10" t="s">
        <v>14</v>
      </c>
      <c r="O15" s="10" t="s">
        <v>210</v>
      </c>
      <c r="P15" s="10" t="s">
        <v>96</v>
      </c>
      <c r="Q15" s="10" t="s">
        <v>211</v>
      </c>
      <c r="R15" s="10" t="s">
        <v>212</v>
      </c>
      <c r="S15" s="11" t="s">
        <v>213</v>
      </c>
      <c r="T15" s="10" t="s">
        <v>214</v>
      </c>
    </row>
    <row r="16" customFormat="false" ht="23.85" hidden="false" customHeight="false" outlineLevel="0" collapsed="false">
      <c r="A16" s="10" t="s">
        <v>215</v>
      </c>
      <c r="B16" s="10" t="s">
        <v>61</v>
      </c>
      <c r="C16" s="10" t="s">
        <v>187</v>
      </c>
      <c r="D16" s="10" t="s">
        <v>188</v>
      </c>
      <c r="E16" s="10" t="s">
        <v>216</v>
      </c>
      <c r="F16" s="10" t="s">
        <v>217</v>
      </c>
      <c r="G16" s="10" t="s">
        <v>91</v>
      </c>
      <c r="H16" s="10" t="s">
        <v>218</v>
      </c>
      <c r="I16" s="10" t="s">
        <v>219</v>
      </c>
      <c r="J16" s="10" t="s">
        <v>220</v>
      </c>
      <c r="K16" s="10"/>
      <c r="L16" s="10"/>
      <c r="M16" s="10"/>
      <c r="N16" s="10" t="s">
        <v>14</v>
      </c>
      <c r="O16" s="10" t="s">
        <v>95</v>
      </c>
      <c r="P16" s="10" t="s">
        <v>96</v>
      </c>
      <c r="Q16" s="10" t="s">
        <v>221</v>
      </c>
      <c r="R16" s="10" t="s">
        <v>222</v>
      </c>
      <c r="S16" s="11" t="s">
        <v>223</v>
      </c>
      <c r="T16" s="10" t="s">
        <v>224</v>
      </c>
    </row>
    <row r="17" customFormat="false" ht="23.85" hidden="false" customHeight="false" outlineLevel="0" collapsed="false">
      <c r="A17" s="10" t="s">
        <v>225</v>
      </c>
      <c r="B17" s="10" t="s">
        <v>61</v>
      </c>
      <c r="C17" s="10" t="s">
        <v>187</v>
      </c>
      <c r="D17" s="10" t="s">
        <v>188</v>
      </c>
      <c r="E17" s="10" t="s">
        <v>216</v>
      </c>
      <c r="F17" s="10" t="s">
        <v>217</v>
      </c>
      <c r="G17" s="10" t="s">
        <v>91</v>
      </c>
      <c r="H17" s="10" t="s">
        <v>226</v>
      </c>
      <c r="I17" s="10" t="s">
        <v>113</v>
      </c>
      <c r="J17" s="10" t="s">
        <v>227</v>
      </c>
      <c r="K17" s="10"/>
      <c r="L17" s="10"/>
      <c r="M17" s="10"/>
      <c r="N17" s="10" t="s">
        <v>12</v>
      </c>
      <c r="O17" s="10" t="s">
        <v>228</v>
      </c>
      <c r="P17" s="10" t="s">
        <v>81</v>
      </c>
      <c r="Q17" s="10" t="s">
        <v>117</v>
      </c>
      <c r="R17" s="10" t="s">
        <v>229</v>
      </c>
      <c r="S17" s="11" t="s">
        <v>230</v>
      </c>
      <c r="T17" s="10" t="s">
        <v>231</v>
      </c>
    </row>
    <row r="18" customFormat="false" ht="23.85" hidden="false" customHeight="false" outlineLevel="0" collapsed="false">
      <c r="A18" s="10" t="s">
        <v>232</v>
      </c>
      <c r="B18" s="10" t="s">
        <v>61</v>
      </c>
      <c r="C18" s="10" t="s">
        <v>233</v>
      </c>
      <c r="D18" s="10" t="s">
        <v>234</v>
      </c>
      <c r="E18" s="10" t="s">
        <v>216</v>
      </c>
      <c r="F18" s="10" t="s">
        <v>217</v>
      </c>
      <c r="G18" s="10" t="s">
        <v>91</v>
      </c>
      <c r="H18" s="10" t="s">
        <v>235</v>
      </c>
      <c r="I18" s="10" t="s">
        <v>113</v>
      </c>
      <c r="J18" s="10" t="s">
        <v>236</v>
      </c>
      <c r="K18" s="10"/>
      <c r="L18" s="10"/>
      <c r="M18" s="10"/>
      <c r="N18" s="10" t="s">
        <v>12</v>
      </c>
      <c r="O18" s="10" t="s">
        <v>237</v>
      </c>
      <c r="P18" s="10" t="s">
        <v>238</v>
      </c>
      <c r="Q18" s="10" t="s">
        <v>117</v>
      </c>
      <c r="R18" s="10" t="s">
        <v>239</v>
      </c>
      <c r="S18" s="11" t="s">
        <v>240</v>
      </c>
      <c r="T18" s="10" t="s">
        <v>241</v>
      </c>
    </row>
    <row r="19" customFormat="false" ht="23.85" hidden="false" customHeight="false" outlineLevel="0" collapsed="false">
      <c r="A19" s="10" t="s">
        <v>242</v>
      </c>
      <c r="B19" s="10" t="s">
        <v>61</v>
      </c>
      <c r="C19" s="10" t="s">
        <v>62</v>
      </c>
      <c r="D19" s="10" t="s">
        <v>63</v>
      </c>
      <c r="E19" s="10" t="s">
        <v>216</v>
      </c>
      <c r="F19" s="10" t="s">
        <v>90</v>
      </c>
      <c r="G19" s="10" t="s">
        <v>91</v>
      </c>
      <c r="H19" s="10" t="s">
        <v>243</v>
      </c>
      <c r="I19" s="10" t="s">
        <v>244</v>
      </c>
      <c r="J19" s="10" t="s">
        <v>245</v>
      </c>
      <c r="K19" s="10"/>
      <c r="L19" s="10"/>
      <c r="M19" s="10"/>
      <c r="N19" s="10" t="s">
        <v>14</v>
      </c>
      <c r="O19" s="10" t="s">
        <v>246</v>
      </c>
      <c r="P19" s="10" t="s">
        <v>96</v>
      </c>
      <c r="Q19" s="10" t="s">
        <v>256</v>
      </c>
      <c r="R19" s="10" t="s">
        <v>248</v>
      </c>
      <c r="S19" s="11" t="s">
        <v>249</v>
      </c>
      <c r="T19" s="10" t="s">
        <v>250</v>
      </c>
    </row>
    <row r="20" customFormat="false" ht="23.85" hidden="false" customHeight="false" outlineLevel="0" collapsed="false">
      <c r="A20" s="10" t="s">
        <v>251</v>
      </c>
      <c r="B20" s="10" t="s">
        <v>61</v>
      </c>
      <c r="C20" s="10" t="s">
        <v>187</v>
      </c>
      <c r="D20" s="10" t="s">
        <v>188</v>
      </c>
      <c r="E20" s="10"/>
      <c r="F20" s="10" t="s">
        <v>76</v>
      </c>
      <c r="G20" s="10" t="s">
        <v>65</v>
      </c>
      <c r="H20" s="10" t="s">
        <v>252</v>
      </c>
      <c r="I20" s="10" t="inlineStr">
        <is>
          <t xml:space="preserve">Spend per child per year</t>
        </is>
      </c>
      <c r="J20" s="10" t="s">
        <v>254</v>
      </c>
      <c r="K20" s="10"/>
      <c r="L20" s="10"/>
      <c r="M20" s="10"/>
      <c r="N20" s="10" t="s">
        <v>10</v>
      </c>
      <c r="O20" s="10" t="s">
        <v>255</v>
      </c>
      <c r="P20" s="10" t="s">
        <v>81</v>
      </c>
      <c r="Q20" s="10" t="s">
        <v>256</v>
      </c>
      <c r="R20" s="10" t="s">
        <v>257</v>
      </c>
      <c r="S20" s="11" t="s">
        <v>258</v>
      </c>
      <c r="T20" s="10" t="inlineStr">
        <is>
          <t xml:space="preserve">CMA (2022) found the largest providers earn materially higher profits than a working market would. NAO figure is spend per child; its residential category includes secure units, residential care homes and residential schools.</t>
        </is>
      </c>
    </row>
    <row r="21" customFormat="false" ht="23.85" hidden="false" customHeight="false" outlineLevel="0" collapsed="false">
      <c r="A21" s="10" t="s">
        <v>260</v>
      </c>
      <c r="B21" s="10" t="s">
        <v>61</v>
      </c>
      <c r="C21" s="10" t="s">
        <v>261</v>
      </c>
      <c r="D21" s="10" t="s">
        <v>262</v>
      </c>
      <c r="E21" s="10" t="s">
        <v>263</v>
      </c>
      <c r="F21" s="10" t="s">
        <v>176</v>
      </c>
      <c r="G21" s="10" t="s">
        <v>65</v>
      </c>
      <c r="H21" s="10" t="s">
        <v>264</v>
      </c>
      <c r="I21" s="10" t="s">
        <v>265</v>
      </c>
      <c r="J21" s="10" t="s">
        <v>266</v>
      </c>
      <c r="K21" s="10"/>
      <c r="L21" s="10"/>
      <c r="M21" s="10"/>
      <c r="N21" s="10" t="s">
        <v>14</v>
      </c>
      <c r="O21" s="10" t="s">
        <v>267</v>
      </c>
      <c r="P21" s="10" t="s">
        <v>268</v>
      </c>
      <c r="Q21" s="10" t="s">
        <v>269</v>
      </c>
      <c r="R21" s="10" t="s">
        <v>270</v>
      </c>
      <c r="S21" s="11" t="s">
        <v>271</v>
      </c>
      <c r="T21" s="10" t="s">
        <v>272</v>
      </c>
    </row>
    <row r="22" customFormat="false" ht="23.85" hidden="false" customHeight="false" outlineLevel="0" collapsed="false">
      <c r="A22" s="10" t="s">
        <v>273</v>
      </c>
      <c r="B22" s="10" t="s">
        <v>61</v>
      </c>
      <c r="C22" s="10" t="s">
        <v>233</v>
      </c>
      <c r="D22" s="10" t="s">
        <v>234</v>
      </c>
      <c r="E22" s="10" t="s">
        <v>274</v>
      </c>
      <c r="F22" s="10" t="s">
        <v>90</v>
      </c>
      <c r="G22" s="10" t="s">
        <v>91</v>
      </c>
      <c r="H22" s="10" t="s">
        <v>275</v>
      </c>
      <c r="I22" s="10" t="s">
        <v>276</v>
      </c>
      <c r="J22" s="10" t="s">
        <v>277</v>
      </c>
      <c r="K22" s="10"/>
      <c r="L22" s="10"/>
      <c r="M22" s="10"/>
      <c r="N22" s="10" t="s">
        <v>14</v>
      </c>
      <c r="O22" s="10" t="s">
        <v>278</v>
      </c>
      <c r="P22" s="10" t="s">
        <v>81</v>
      </c>
      <c r="Q22" s="10" t="s">
        <v>279</v>
      </c>
      <c r="R22" s="10" t="s">
        <v>280</v>
      </c>
      <c r="S22" s="11" t="s">
        <v>281</v>
      </c>
      <c r="T22" s="10" t="s">
        <v>282</v>
      </c>
    </row>
    <row r="23" customFormat="false" ht="23.85" hidden="false" customHeight="false" outlineLevel="0" collapsed="false">
      <c r="A23" s="10" t="s">
        <v>283</v>
      </c>
      <c r="B23" s="10" t="s">
        <v>61</v>
      </c>
      <c r="C23" s="10" t="s">
        <v>233</v>
      </c>
      <c r="D23" s="10" t="s">
        <v>234</v>
      </c>
      <c r="E23" s="10" t="s">
        <v>274</v>
      </c>
      <c r="F23" s="10" t="s">
        <v>90</v>
      </c>
      <c r="G23" s="10" t="s">
        <v>134</v>
      </c>
      <c r="H23" s="10" t="s">
        <v>284</v>
      </c>
      <c r="I23" s="10" t="s">
        <v>285</v>
      </c>
      <c r="J23" s="10" t="s">
        <v>286</v>
      </c>
      <c r="K23" s="10"/>
      <c r="L23" s="10"/>
      <c r="M23" s="10"/>
      <c r="N23" s="10" t="s">
        <v>14</v>
      </c>
      <c r="O23" s="10" t="s">
        <v>287</v>
      </c>
      <c r="P23" s="10" t="s">
        <v>81</v>
      </c>
      <c r="Q23" s="10" t="s">
        <v>202</v>
      </c>
      <c r="R23" s="10" t="s">
        <v>288</v>
      </c>
      <c r="S23" s="11" t="s">
        <v>289</v>
      </c>
      <c r="T23" s="10" t="s">
        <v>290</v>
      </c>
    </row>
    <row r="24" customFormat="false" ht="23.85" hidden="false" customHeight="false" outlineLevel="0" collapsed="false">
      <c r="A24" s="10" t="s">
        <v>291</v>
      </c>
      <c r="B24" s="10" t="s">
        <v>61</v>
      </c>
      <c r="C24" s="10" t="s">
        <v>233</v>
      </c>
      <c r="D24" s="10" t="s">
        <v>234</v>
      </c>
      <c r="E24" s="10" t="s">
        <v>274</v>
      </c>
      <c r="F24" s="10" t="s">
        <v>217</v>
      </c>
      <c r="G24" s="10" t="s">
        <v>134</v>
      </c>
      <c r="H24" s="10" t="s">
        <v>292</v>
      </c>
      <c r="I24" s="10" t="s">
        <v>293</v>
      </c>
      <c r="J24" s="10" t="s">
        <v>294</v>
      </c>
      <c r="K24" s="10"/>
      <c r="L24" s="10"/>
      <c r="M24" s="10"/>
      <c r="N24" s="10" t="s">
        <v>12</v>
      </c>
      <c r="O24" s="10" t="s">
        <v>295</v>
      </c>
      <c r="P24" s="10" t="s">
        <v>81</v>
      </c>
      <c r="Q24" s="10" t="s">
        <v>202</v>
      </c>
      <c r="R24" s="10" t="s">
        <v>297</v>
      </c>
      <c r="S24" s="11" t="s">
        <v>298</v>
      </c>
      <c r="T24" s="10" t="s">
        <v>299</v>
      </c>
    </row>
    <row r="25" customFormat="false" ht="23.85" hidden="false" customHeight="false" outlineLevel="0" collapsed="false">
      <c r="A25" s="10" t="s">
        <v>300</v>
      </c>
      <c r="B25" s="10" t="s">
        <v>61</v>
      </c>
      <c r="C25" s="10" t="s">
        <v>233</v>
      </c>
      <c r="D25" s="10" t="s">
        <v>234</v>
      </c>
      <c r="E25" s="10"/>
      <c r="F25" s="10" t="s">
        <v>90</v>
      </c>
      <c r="G25" s="10" t="s">
        <v>91</v>
      </c>
      <c r="H25" s="10" t="s">
        <v>301</v>
      </c>
      <c r="I25" s="10" t="s">
        <v>302</v>
      </c>
      <c r="J25" s="10" t="s">
        <v>303</v>
      </c>
      <c r="K25" s="10"/>
      <c r="L25" s="10"/>
      <c r="M25" s="10"/>
      <c r="N25" s="10" t="s">
        <v>14</v>
      </c>
      <c r="O25" s="10" t="s">
        <v>246</v>
      </c>
      <c r="P25" s="10" t="s">
        <v>81</v>
      </c>
      <c r="Q25" s="10" t="s">
        <v>269</v>
      </c>
      <c r="R25" s="10" t="s">
        <v>304</v>
      </c>
      <c r="S25" s="11" t="s">
        <v>305</v>
      </c>
      <c r="T25" s="10" t="s">
        <v>306</v>
      </c>
    </row>
    <row r="26" customFormat="false" ht="23.85" hidden="false" customHeight="false" outlineLevel="0" collapsed="false">
      <c r="A26" s="10" t="s">
        <v>307</v>
      </c>
      <c r="B26" s="10" t="s">
        <v>61</v>
      </c>
      <c r="C26" s="10" t="s">
        <v>233</v>
      </c>
      <c r="D26" s="10" t="s">
        <v>234</v>
      </c>
      <c r="E26" s="10"/>
      <c r="F26" s="10" t="s">
        <v>90</v>
      </c>
      <c r="G26" s="10" t="s">
        <v>91</v>
      </c>
      <c r="H26" s="10" t="s">
        <v>308</v>
      </c>
      <c r="I26" s="10" t="s">
        <v>309</v>
      </c>
      <c r="J26" s="10" t="s">
        <v>310</v>
      </c>
      <c r="K26" s="10"/>
      <c r="L26" s="10"/>
      <c r="M26" s="10"/>
      <c r="N26" s="10" t="s">
        <v>14</v>
      </c>
      <c r="O26" s="10" t="s">
        <v>311</v>
      </c>
      <c r="P26" s="10" t="s">
        <v>96</v>
      </c>
      <c r="Q26" s="10" t="s">
        <v>312</v>
      </c>
      <c r="R26" s="10" t="s">
        <v>313</v>
      </c>
      <c r="S26" s="11" t="s">
        <v>314</v>
      </c>
      <c r="T26" s="10" t="s">
        <v>315</v>
      </c>
    </row>
    <row r="27" customFormat="false" ht="23.85" hidden="false" customHeight="false" outlineLevel="0" collapsed="false">
      <c r="A27" s="10" t="s">
        <v>316</v>
      </c>
      <c r="B27" s="10" t="s">
        <v>61</v>
      </c>
      <c r="C27" s="10" t="s">
        <v>62</v>
      </c>
      <c r="D27" s="10" t="s">
        <v>63</v>
      </c>
      <c r="E27" s="10"/>
      <c r="F27" s="10" t="s">
        <v>176</v>
      </c>
      <c r="G27" s="10" t="s">
        <v>65</v>
      </c>
      <c r="H27" s="10" t="s">
        <v>317</v>
      </c>
      <c r="I27" s="10" t="s">
        <v>309</v>
      </c>
      <c r="J27" s="10" t="s">
        <v>318</v>
      </c>
      <c r="K27" s="10"/>
      <c r="L27" s="10"/>
      <c r="M27" s="10"/>
      <c r="N27" s="10" t="s">
        <v>14</v>
      </c>
      <c r="O27" s="10" t="s">
        <v>95</v>
      </c>
      <c r="P27" s="10" t="s">
        <v>96</v>
      </c>
      <c r="Q27" s="10" t="s">
        <v>312</v>
      </c>
      <c r="R27" s="10" t="s">
        <v>319</v>
      </c>
      <c r="S27" s="11" t="s">
        <v>320</v>
      </c>
      <c r="T27" s="10" t="s">
        <v>321</v>
      </c>
    </row>
    <row r="28" customFormat="false" ht="23.85" hidden="false" customHeight="false" outlineLevel="0" collapsed="false">
      <c r="A28" s="10" t="s">
        <v>322</v>
      </c>
      <c r="B28" s="10" t="s">
        <v>61</v>
      </c>
      <c r="C28" s="10" t="s">
        <v>62</v>
      </c>
      <c r="D28" s="10" t="s">
        <v>63</v>
      </c>
      <c r="E28" s="10"/>
      <c r="F28" s="10" t="s">
        <v>323</v>
      </c>
      <c r="G28" s="10" t="s">
        <v>65</v>
      </c>
      <c r="H28" s="10" t="s">
        <v>324</v>
      </c>
      <c r="I28" s="10" t="s">
        <v>325</v>
      </c>
      <c r="J28" s="10" t="s">
        <v>326</v>
      </c>
      <c r="K28" s="10"/>
      <c r="L28" s="10"/>
      <c r="M28" s="10"/>
      <c r="N28" s="10" t="s">
        <v>10</v>
      </c>
      <c r="O28" s="10" t="s">
        <v>327</v>
      </c>
      <c r="P28" s="10" t="s">
        <v>81</v>
      </c>
      <c r="Q28" s="10" t="s">
        <v>82</v>
      </c>
      <c r="R28" s="10" t="s">
        <v>328</v>
      </c>
      <c r="S28" s="11" t="s">
        <v>329</v>
      </c>
      <c r="T28" s="10" t="s">
        <v>330</v>
      </c>
    </row>
    <row r="29" customFormat="false" ht="23.85" hidden="false" customHeight="false" outlineLevel="0" collapsed="false">
      <c r="A29" s="10" t="s">
        <v>331</v>
      </c>
      <c r="B29" s="10" t="s">
        <v>61</v>
      </c>
      <c r="C29" s="10" t="s">
        <v>233</v>
      </c>
      <c r="D29" s="10" t="s">
        <v>234</v>
      </c>
      <c r="E29" s="10"/>
      <c r="F29" s="10" t="s">
        <v>217</v>
      </c>
      <c r="G29" s="10" t="s">
        <v>134</v>
      </c>
      <c r="H29" s="10" t="s">
        <v>332</v>
      </c>
      <c r="I29" s="10" t="s">
        <v>276</v>
      </c>
      <c r="J29" s="10" t="s">
        <v>333</v>
      </c>
      <c r="K29" s="10"/>
      <c r="L29" s="10"/>
      <c r="M29" s="10"/>
      <c r="N29" s="10" t="s">
        <v>12</v>
      </c>
      <c r="O29" s="10" t="s">
        <v>334</v>
      </c>
      <c r="P29" s="10" t="s">
        <v>70</v>
      </c>
      <c r="Q29" s="10" t="s">
        <v>335</v>
      </c>
      <c r="R29" s="10" t="s">
        <v>336</v>
      </c>
      <c r="S29" s="11" t="s">
        <v>337</v>
      </c>
      <c r="T29" s="10" t="s">
        <v>338</v>
      </c>
    </row>
    <row r="30" customFormat="false" ht="23.85" hidden="false" customHeight="false" outlineLevel="0" collapsed="false">
      <c r="A30" s="10" t="s">
        <v>339</v>
      </c>
      <c r="B30" s="10" t="s">
        <v>61</v>
      </c>
      <c r="C30" s="10" t="s">
        <v>233</v>
      </c>
      <c r="D30" s="10" t="s">
        <v>234</v>
      </c>
      <c r="E30" s="10"/>
      <c r="F30" s="10" t="s">
        <v>217</v>
      </c>
      <c r="G30" s="10" t="s">
        <v>134</v>
      </c>
      <c r="H30" s="10" t="s">
        <v>340</v>
      </c>
      <c r="I30" s="10" t="s">
        <v>276</v>
      </c>
      <c r="J30" s="10" t="s">
        <v>341</v>
      </c>
      <c r="K30" s="10"/>
      <c r="L30" s="10"/>
      <c r="M30" s="10"/>
      <c r="N30" s="10" t="s">
        <v>12</v>
      </c>
      <c r="O30" s="10" t="s">
        <v>334</v>
      </c>
      <c r="P30" s="10" t="s">
        <v>70</v>
      </c>
      <c r="Q30" s="10" t="s">
        <v>342</v>
      </c>
      <c r="R30" s="10" t="s">
        <v>343</v>
      </c>
      <c r="S30" s="11" t="s">
        <v>344</v>
      </c>
      <c r="T30" s="10" t="s">
        <v>345</v>
      </c>
    </row>
    <row r="31" customFormat="false" ht="15" hidden="false" customHeight="false" outlineLevel="0" collapsed="false">
      <c r="A31" s="10" t="s">
        <v>346</v>
      </c>
      <c r="B31" s="10" t="s">
        <v>61</v>
      </c>
      <c r="C31" s="10" t="s">
        <v>233</v>
      </c>
      <c r="D31" s="10" t="s">
        <v>234</v>
      </c>
      <c r="E31" s="10"/>
      <c r="F31" s="10" t="s">
        <v>217</v>
      </c>
      <c r="G31" s="10" t="s">
        <v>134</v>
      </c>
      <c r="H31" s="10" t="s">
        <v>347</v>
      </c>
      <c r="I31" s="10" t="s">
        <v>348</v>
      </c>
      <c r="J31" s="10" t="s">
        <v>349</v>
      </c>
      <c r="K31" s="10"/>
      <c r="L31" s="10"/>
      <c r="M31" s="10"/>
      <c r="N31" s="10" t="s">
        <v>12</v>
      </c>
      <c r="O31" s="10" t="s">
        <v>350</v>
      </c>
      <c r="P31" s="10" t="s">
        <v>70</v>
      </c>
      <c r="Q31" s="10" t="s">
        <v>335</v>
      </c>
      <c r="R31" s="10" t="s">
        <v>351</v>
      </c>
      <c r="S31" s="11" t="s">
        <v>352</v>
      </c>
      <c r="T31" s="10"/>
    </row>
    <row r="32" customFormat="false" ht="23.85" hidden="false" customHeight="false" outlineLevel="0" collapsed="false">
      <c r="A32" s="10" t="s">
        <v>353</v>
      </c>
      <c r="B32" s="10" t="s">
        <v>61</v>
      </c>
      <c r="C32" s="10" t="s">
        <v>233</v>
      </c>
      <c r="D32" s="10" t="s">
        <v>234</v>
      </c>
      <c r="E32" s="10"/>
      <c r="F32" s="10" t="s">
        <v>217</v>
      </c>
      <c r="G32" s="10" t="s">
        <v>134</v>
      </c>
      <c r="H32" s="10" t="s">
        <v>354</v>
      </c>
      <c r="I32" s="10" t="s">
        <v>355</v>
      </c>
      <c r="J32" s="10" t="s">
        <v>356</v>
      </c>
      <c r="K32" s="10"/>
      <c r="L32" s="10"/>
      <c r="M32" s="10"/>
      <c r="N32" s="10" t="s">
        <v>10</v>
      </c>
      <c r="O32" s="10" t="s">
        <v>357</v>
      </c>
      <c r="P32" s="10" t="s">
        <v>70</v>
      </c>
      <c r="Q32" s="10" t="s">
        <v>82</v>
      </c>
      <c r="R32" s="10" t="s">
        <v>358</v>
      </c>
      <c r="S32" s="11" t="s">
        <v>359</v>
      </c>
      <c r="T32" s="10" t="s">
        <v>360</v>
      </c>
    </row>
    <row r="33" customFormat="false" ht="23.85" hidden="false" customHeight="false" outlineLevel="0" collapsed="false">
      <c r="A33" s="10" t="s">
        <v>361</v>
      </c>
      <c r="B33" s="10" t="s">
        <v>61</v>
      </c>
      <c r="C33" s="10" t="s">
        <v>62</v>
      </c>
      <c r="D33" s="10" t="s">
        <v>63</v>
      </c>
      <c r="E33" s="10"/>
      <c r="F33" s="10" t="s">
        <v>217</v>
      </c>
      <c r="G33" s="10" t="s">
        <v>134</v>
      </c>
      <c r="H33" s="10" t="s">
        <v>362</v>
      </c>
      <c r="I33" s="10" t="s">
        <v>363</v>
      </c>
      <c r="J33" s="10" t="s">
        <v>364</v>
      </c>
      <c r="K33" s="10"/>
      <c r="L33" s="10"/>
      <c r="M33" s="10"/>
      <c r="N33" s="10" t="s">
        <v>10</v>
      </c>
      <c r="O33" s="10" t="s">
        <v>365</v>
      </c>
      <c r="P33" s="10" t="s">
        <v>70</v>
      </c>
      <c r="Q33" s="10" t="s">
        <v>366</v>
      </c>
      <c r="R33" s="10" t="s">
        <v>367</v>
      </c>
      <c r="S33" s="11" t="s">
        <v>368</v>
      </c>
      <c r="T33" s="10" t="s">
        <v>369</v>
      </c>
    </row>
    <row r="34" customFormat="false" ht="23.85" hidden="false" customHeight="false" outlineLevel="0" collapsed="false">
      <c r="A34" s="10" t="s">
        <v>370</v>
      </c>
      <c r="B34" s="10" t="s">
        <v>61</v>
      </c>
      <c r="C34" s="10" t="s">
        <v>62</v>
      </c>
      <c r="D34" s="10" t="s">
        <v>63</v>
      </c>
      <c r="E34" s="10" t="s">
        <v>274</v>
      </c>
      <c r="F34" s="10" t="s">
        <v>76</v>
      </c>
      <c r="G34" s="10" t="s">
        <v>91</v>
      </c>
      <c r="H34" s="10" t="s">
        <v>371</v>
      </c>
      <c r="I34" s="10" t="s">
        <v>372</v>
      </c>
      <c r="J34" s="10" t="s">
        <v>373</v>
      </c>
      <c r="K34" s="10"/>
      <c r="L34" s="10"/>
      <c r="M34" s="10"/>
      <c r="N34" s="10" t="s">
        <v>12</v>
      </c>
      <c r="O34" s="10" t="s">
        <v>374</v>
      </c>
      <c r="P34" s="10" t="s">
        <v>81</v>
      </c>
      <c r="Q34" s="10" t="s">
        <v>375</v>
      </c>
      <c r="R34" s="10" t="s">
        <v>376</v>
      </c>
      <c r="S34" s="11" t="s">
        <v>377</v>
      </c>
      <c r="T34" s="10" t="s">
        <v>378</v>
      </c>
    </row>
    <row r="35" customFormat="false" ht="23.85" hidden="false" customHeight="false" outlineLevel="0" collapsed="false">
      <c r="A35" s="10" t="s">
        <v>379</v>
      </c>
      <c r="B35" s="10" t="s">
        <v>61</v>
      </c>
      <c r="C35" s="10" t="s">
        <v>62</v>
      </c>
      <c r="D35" s="10" t="s">
        <v>63</v>
      </c>
      <c r="E35" s="10" t="s">
        <v>274</v>
      </c>
      <c r="F35" s="10" t="s">
        <v>76</v>
      </c>
      <c r="G35" s="10" t="s">
        <v>91</v>
      </c>
      <c r="H35" s="10" t="s">
        <v>380</v>
      </c>
      <c r="I35" s="10" t="s">
        <v>381</v>
      </c>
      <c r="J35" s="10" t="s">
        <v>382</v>
      </c>
      <c r="K35" s="10"/>
      <c r="L35" s="10"/>
      <c r="M35" s="10"/>
      <c r="N35" s="10" t="s">
        <v>12</v>
      </c>
      <c r="O35" s="10" t="s">
        <v>383</v>
      </c>
      <c r="P35" s="10" t="s">
        <v>181</v>
      </c>
      <c r="Q35" s="10" t="s">
        <v>117</v>
      </c>
      <c r="R35" s="10" t="s">
        <v>384</v>
      </c>
      <c r="S35" s="11" t="s">
        <v>385</v>
      </c>
      <c r="T35" s="10" t="s">
        <v>386</v>
      </c>
    </row>
    <row r="36" customFormat="false" ht="23.85" hidden="false" customHeight="false" outlineLevel="0" collapsed="false">
      <c r="A36" s="10" t="s">
        <v>387</v>
      </c>
      <c r="B36" s="10" t="s">
        <v>61</v>
      </c>
      <c r="C36" s="10" t="s">
        <v>233</v>
      </c>
      <c r="D36" s="10" t="s">
        <v>234</v>
      </c>
      <c r="E36" s="10" t="s">
        <v>274</v>
      </c>
      <c r="F36" s="10" t="s">
        <v>176</v>
      </c>
      <c r="G36" s="10" t="s">
        <v>65</v>
      </c>
      <c r="H36" s="10" t="s">
        <v>388</v>
      </c>
      <c r="I36" s="10" t="s">
        <v>389</v>
      </c>
      <c r="J36" s="10" t="s">
        <v>390</v>
      </c>
      <c r="K36" s="10"/>
      <c r="L36" s="10"/>
      <c r="M36" s="10"/>
      <c r="N36" s="10" t="s">
        <v>14</v>
      </c>
      <c r="O36" s="10" t="s">
        <v>391</v>
      </c>
      <c r="P36" s="10" t="s">
        <v>96</v>
      </c>
      <c r="Q36" s="10" t="s">
        <v>256</v>
      </c>
      <c r="R36" s="10" t="s">
        <v>392</v>
      </c>
      <c r="S36" s="11" t="s">
        <v>393</v>
      </c>
      <c r="T36" s="10" t="s">
        <v>938</v>
      </c>
    </row>
    <row r="37" customFormat="false" ht="23.85" hidden="false" customHeight="false" outlineLevel="0" collapsed="false">
      <c r="A37" s="10" t="s">
        <v>394</v>
      </c>
      <c r="B37" s="10" t="s">
        <v>61</v>
      </c>
      <c r="C37" s="10" t="s">
        <v>187</v>
      </c>
      <c r="D37" s="10" t="s">
        <v>188</v>
      </c>
      <c r="E37" s="10" t="s">
        <v>263</v>
      </c>
      <c r="F37" s="10" t="s">
        <v>395</v>
      </c>
      <c r="G37" s="10" t="s">
        <v>134</v>
      </c>
      <c r="H37" s="10" t="s">
        <v>396</v>
      </c>
      <c r="I37" s="10" t="s">
        <v>276</v>
      </c>
      <c r="J37" s="10" t="s">
        <v>397</v>
      </c>
      <c r="K37" s="10"/>
      <c r="L37" s="10"/>
      <c r="M37" s="10"/>
      <c r="N37" s="10" t="s">
        <v>14</v>
      </c>
      <c r="O37" s="10" t="s">
        <v>398</v>
      </c>
      <c r="P37" s="10" t="s">
        <v>70</v>
      </c>
      <c r="Q37" s="10" t="s">
        <v>939</v>
      </c>
      <c r="R37" s="10" t="s">
        <v>400</v>
      </c>
      <c r="S37" s="11" t="s">
        <v>401</v>
      </c>
      <c r="T37" s="10" t="s">
        <v>402</v>
      </c>
    </row>
    <row r="38" customFormat="false" ht="23.85" hidden="false" customHeight="false" outlineLevel="0" collapsed="false">
      <c r="A38" s="10" t="s">
        <v>403</v>
      </c>
      <c r="B38" s="10" t="s">
        <v>404</v>
      </c>
      <c r="C38" s="10" t="s">
        <v>87</v>
      </c>
      <c r="D38" s="10" t="s">
        <v>88</v>
      </c>
      <c r="E38" s="10" t="s">
        <v>89</v>
      </c>
      <c r="F38" s="10" t="s">
        <v>90</v>
      </c>
      <c r="G38" s="10" t="s">
        <v>91</v>
      </c>
      <c r="H38" s="10" t="s">
        <v>405</v>
      </c>
      <c r="I38" s="10" t="s">
        <v>406</v>
      </c>
      <c r="J38" s="10" t="s">
        <v>407</v>
      </c>
      <c r="K38" s="10" t="s">
        <v>408</v>
      </c>
      <c r="L38" s="10" t="s">
        <v>409</v>
      </c>
      <c r="M38" s="10" t="s">
        <v>410</v>
      </c>
      <c r="N38" s="10" t="s">
        <v>10</v>
      </c>
      <c r="O38" s="10" t="s">
        <v>411</v>
      </c>
      <c r="P38" s="10" t="s">
        <v>412</v>
      </c>
      <c r="Q38" s="10" t="s">
        <v>202</v>
      </c>
      <c r="R38" s="10" t="s">
        <v>413</v>
      </c>
      <c r="S38" s="11" t="s">
        <v>414</v>
      </c>
      <c r="T38" s="10" t="s">
        <v>415</v>
      </c>
    </row>
    <row r="39" customFormat="false" ht="23.85" hidden="false" customHeight="false" outlineLevel="0" collapsed="false">
      <c r="A39" s="10" t="s">
        <v>416</v>
      </c>
      <c r="B39" s="10" t="s">
        <v>404</v>
      </c>
      <c r="C39" s="10" t="s">
        <v>87</v>
      </c>
      <c r="D39" s="10" t="s">
        <v>88</v>
      </c>
      <c r="E39" s="10" t="s">
        <v>89</v>
      </c>
      <c r="F39" s="10" t="s">
        <v>90</v>
      </c>
      <c r="G39" s="10" t="s">
        <v>91</v>
      </c>
      <c r="H39" s="10" t="s">
        <v>417</v>
      </c>
      <c r="I39" s="10" t="s">
        <v>406</v>
      </c>
      <c r="J39" s="10" t="s">
        <v>418</v>
      </c>
      <c r="K39" s="10" t="s">
        <v>419</v>
      </c>
      <c r="L39" s="10" t="s">
        <v>420</v>
      </c>
      <c r="M39" s="10" t="s">
        <v>421</v>
      </c>
      <c r="N39" s="10" t="s">
        <v>10</v>
      </c>
      <c r="O39" s="10" t="s">
        <v>422</v>
      </c>
      <c r="P39" s="10" t="s">
        <v>423</v>
      </c>
      <c r="Q39" s="10" t="s">
        <v>399</v>
      </c>
      <c r="R39" s="10" t="inlineStr">
        <is>
          <t xml:space="preserve">Ullah et al. (2025), Lancet Psychiatry (ROSHNI-2 economic evaluation)</t>
        </is>
      </c>
      <c r="S39" s="11" t="inlineStr">
        <is>
          <t xml:space="preserve">https://doi.org/10.1016/S2215-0366(25)00039-2</t>
        </is>
      </c>
      <c r="T39" s="10" t="s">
        <v>426</v>
      </c>
    </row>
    <row r="40" customFormat="false" ht="23.85" hidden="false" customHeight="false" outlineLevel="0" collapsed="false">
      <c r="A40" s="10" t="s">
        <v>427</v>
      </c>
      <c r="B40" s="10" t="s">
        <v>404</v>
      </c>
      <c r="C40" s="10" t="s">
        <v>87</v>
      </c>
      <c r="D40" s="10" t="s">
        <v>88</v>
      </c>
      <c r="E40" s="10" t="s">
        <v>89</v>
      </c>
      <c r="F40" s="10" t="s">
        <v>90</v>
      </c>
      <c r="G40" s="10" t="s">
        <v>91</v>
      </c>
      <c r="H40" s="10" t="s">
        <v>428</v>
      </c>
      <c r="I40" s="10" t="s">
        <v>429</v>
      </c>
      <c r="J40" s="10" t="s">
        <v>430</v>
      </c>
      <c r="K40" s="10" t="s">
        <v>419</v>
      </c>
      <c r="L40" s="10" t="s">
        <v>431</v>
      </c>
      <c r="M40" s="10" t="s">
        <v>421</v>
      </c>
      <c r="N40" s="10" t="s">
        <v>10</v>
      </c>
      <c r="O40" s="10" t="s">
        <v>432</v>
      </c>
      <c r="P40" s="10" t="s">
        <v>433</v>
      </c>
      <c r="Q40" s="10" t="s">
        <v>202</v>
      </c>
      <c r="R40" s="10" t="s">
        <v>434</v>
      </c>
      <c r="S40" s="11" t="s">
        <v>435</v>
      </c>
      <c r="T40" s="10" t="s">
        <v>436</v>
      </c>
    </row>
    <row r="41" customFormat="false" ht="23.85" hidden="false" customHeight="false" outlineLevel="0" collapsed="false">
      <c r="A41" s="10" t="s">
        <v>437</v>
      </c>
      <c r="B41" s="10" t="s">
        <v>404</v>
      </c>
      <c r="C41" s="10" t="s">
        <v>87</v>
      </c>
      <c r="D41" s="10" t="s">
        <v>88</v>
      </c>
      <c r="E41" s="10" t="s">
        <v>89</v>
      </c>
      <c r="F41" s="10" t="s">
        <v>90</v>
      </c>
      <c r="G41" s="10" t="s">
        <v>91</v>
      </c>
      <c r="H41" s="10" t="s">
        <v>438</v>
      </c>
      <c r="I41" s="10" t="s">
        <v>406</v>
      </c>
      <c r="J41" s="10" t="s">
        <v>439</v>
      </c>
      <c r="K41" s="10" t="s">
        <v>408</v>
      </c>
      <c r="L41" s="10" t="s">
        <v>431</v>
      </c>
      <c r="M41" s="10" t="s">
        <v>440</v>
      </c>
      <c r="N41" s="10" t="s">
        <v>10</v>
      </c>
      <c r="O41" s="10" t="s">
        <v>441</v>
      </c>
      <c r="P41" s="10" t="s">
        <v>442</v>
      </c>
      <c r="Q41" s="10" t="s">
        <v>443</v>
      </c>
      <c r="R41" s="10" t="s">
        <v>444</v>
      </c>
      <c r="S41" s="11" t="s">
        <v>445</v>
      </c>
      <c r="T41" s="10" t="s">
        <v>446</v>
      </c>
    </row>
    <row r="42" customFormat="false" ht="23.85" hidden="false" customHeight="false" outlineLevel="0" collapsed="false">
      <c r="A42" s="10" t="s">
        <v>447</v>
      </c>
      <c r="B42" s="10" t="s">
        <v>404</v>
      </c>
      <c r="C42" s="10" t="s">
        <v>132</v>
      </c>
      <c r="D42" s="10" t="s">
        <v>133</v>
      </c>
      <c r="E42" s="10" t="s">
        <v>122</v>
      </c>
      <c r="F42" s="10" t="s">
        <v>90</v>
      </c>
      <c r="G42" s="10" t="s">
        <v>91</v>
      </c>
      <c r="H42" s="10" t="s">
        <v>448</v>
      </c>
      <c r="I42" s="10" t="s">
        <v>449</v>
      </c>
      <c r="J42" s="10" t="s">
        <v>450</v>
      </c>
      <c r="K42" s="10" t="s">
        <v>451</v>
      </c>
      <c r="L42" s="10" t="s">
        <v>452</v>
      </c>
      <c r="M42" s="10"/>
      <c r="N42" s="10" t="s">
        <v>10</v>
      </c>
      <c r="O42" s="10" t="s">
        <v>453</v>
      </c>
      <c r="P42" s="10" t="s">
        <v>81</v>
      </c>
      <c r="Q42" s="10" t="inlineStr">
        <is>
          <t>2013</t>
        </is>
      </c>
      <c r="R42" s="10" t="s">
        <v>455</v>
      </c>
      <c r="S42" s="11" t="s">
        <v>456</v>
      </c>
      <c r="T42" s="10" t="s">
        <v>457</v>
      </c>
    </row>
    <row r="43" customFormat="false" ht="23.85" hidden="false" customHeight="false" outlineLevel="0" collapsed="false">
      <c r="A43" s="10" t="s">
        <v>458</v>
      </c>
      <c r="B43" s="10" t="s">
        <v>404</v>
      </c>
      <c r="C43" s="10" t="s">
        <v>132</v>
      </c>
      <c r="D43" s="10" t="s">
        <v>133</v>
      </c>
      <c r="E43" s="10" t="s">
        <v>165</v>
      </c>
      <c r="F43" s="10" t="s">
        <v>90</v>
      </c>
      <c r="G43" s="10" t="s">
        <v>134</v>
      </c>
      <c r="H43" s="10" t="s">
        <v>459</v>
      </c>
      <c r="I43" s="10" t="s">
        <v>460</v>
      </c>
      <c r="J43" s="10" t="s">
        <v>461</v>
      </c>
      <c r="K43" s="10" t="s">
        <v>419</v>
      </c>
      <c r="L43" s="10" t="s">
        <v>462</v>
      </c>
      <c r="M43" s="10" t="s">
        <v>463</v>
      </c>
      <c r="N43" s="10" t="s">
        <v>10</v>
      </c>
      <c r="O43" s="10" t="s">
        <v>464</v>
      </c>
      <c r="P43" s="10" t="s">
        <v>465</v>
      </c>
      <c r="Q43" s="10" t="s">
        <v>202</v>
      </c>
      <c r="R43" s="10" t="s">
        <v>466</v>
      </c>
      <c r="S43" s="11" t="s">
        <v>467</v>
      </c>
      <c r="T43" s="10" t="s">
        <v>468</v>
      </c>
    </row>
    <row r="44" customFormat="false" ht="23.85" hidden="false" customHeight="false" outlineLevel="0" collapsed="false">
      <c r="A44" s="10" t="s">
        <v>469</v>
      </c>
      <c r="B44" s="10" t="s">
        <v>404</v>
      </c>
      <c r="C44" s="10" t="s">
        <v>132</v>
      </c>
      <c r="D44" s="10" t="s">
        <v>133</v>
      </c>
      <c r="E44" s="10" t="s">
        <v>165</v>
      </c>
      <c r="F44" s="10" t="s">
        <v>64</v>
      </c>
      <c r="G44" s="10" t="s">
        <v>134</v>
      </c>
      <c r="H44" s="10" t="s">
        <v>470</v>
      </c>
      <c r="I44" s="10" t="s">
        <v>471</v>
      </c>
      <c r="J44" s="10" t="inlineStr">
        <is>
          <t xml:space="preserve">£1,177 per participant; public-sector savings 2.8–6.1 times cost; societal savings £16,435 over 25 years; payback 5–8 years</t>
        </is>
      </c>
      <c r="K44" s="10" t="s">
        <v>473</v>
      </c>
      <c r="L44" s="10" t="s">
        <v>462</v>
      </c>
      <c r="M44" s="10" t="s">
        <v>474</v>
      </c>
      <c r="N44" s="10" t="s">
        <v>14</v>
      </c>
      <c r="O44" s="10" t="s">
        <v>126</v>
      </c>
      <c r="P44" s="10" t="s">
        <v>81</v>
      </c>
      <c r="Q44" s="10" t="s">
        <v>475</v>
      </c>
      <c r="R44" s="10" t="s">
        <v>476</v>
      </c>
      <c r="S44" s="11" t="s">
        <v>477</v>
      </c>
      <c r="T44" s="10" t="s">
        <v>478</v>
      </c>
    </row>
    <row r="45" customFormat="false" ht="35.05" hidden="false" customHeight="false" outlineLevel="0" collapsed="false">
      <c r="A45" s="10" t="s">
        <v>479</v>
      </c>
      <c r="B45" s="10" t="s">
        <v>404</v>
      </c>
      <c r="C45" s="10" t="s">
        <v>132</v>
      </c>
      <c r="D45" s="10" t="s">
        <v>133</v>
      </c>
      <c r="E45" s="10" t="s">
        <v>122</v>
      </c>
      <c r="F45" s="10" t="s">
        <v>64</v>
      </c>
      <c r="G45" s="10" t="s">
        <v>65</v>
      </c>
      <c r="H45" s="10" t="s">
        <v>480</v>
      </c>
      <c r="I45" s="10" t="s">
        <v>481</v>
      </c>
      <c r="J45" s="10" t="s">
        <v>482</v>
      </c>
      <c r="K45" s="10" t="s">
        <v>473</v>
      </c>
      <c r="L45" s="10" t="s">
        <v>483</v>
      </c>
      <c r="M45" s="10" t="s">
        <v>484</v>
      </c>
      <c r="N45" s="10" t="s">
        <v>12</v>
      </c>
      <c r="O45" s="10" t="s">
        <v>485</v>
      </c>
      <c r="P45" s="10" t="s">
        <v>81</v>
      </c>
      <c r="Q45" s="10" t="s">
        <v>256</v>
      </c>
      <c r="R45" s="10" t="s">
        <v>486</v>
      </c>
      <c r="S45" s="11" t="s">
        <v>487</v>
      </c>
      <c r="T45" s="10" t="s">
        <v>488</v>
      </c>
    </row>
    <row r="46" customFormat="false" ht="23.85" hidden="false" customHeight="false" outlineLevel="0" collapsed="false">
      <c r="A46" s="10" t="s">
        <v>489</v>
      </c>
      <c r="B46" s="10" t="s">
        <v>404</v>
      </c>
      <c r="C46" s="10" t="s">
        <v>132</v>
      </c>
      <c r="D46" s="10" t="s">
        <v>133</v>
      </c>
      <c r="E46" s="10" t="s">
        <v>111</v>
      </c>
      <c r="F46" s="10" t="s">
        <v>90</v>
      </c>
      <c r="G46" s="10" t="s">
        <v>91</v>
      </c>
      <c r="H46" s="10" t="s">
        <v>490</v>
      </c>
      <c r="I46" s="10" t="s">
        <v>491</v>
      </c>
      <c r="J46" s="10" t="s">
        <v>492</v>
      </c>
      <c r="K46" s="10" t="s">
        <v>493</v>
      </c>
      <c r="L46" s="10" t="s">
        <v>420</v>
      </c>
      <c r="M46" s="10"/>
      <c r="N46" s="10" t="s">
        <v>10</v>
      </c>
      <c r="O46" s="10" t="s">
        <v>494</v>
      </c>
      <c r="P46" s="10" t="s">
        <v>96</v>
      </c>
      <c r="Q46" s="10" t="s">
        <v>495</v>
      </c>
      <c r="R46" s="10" t="s">
        <v>496</v>
      </c>
      <c r="S46" s="11" t="s">
        <v>497</v>
      </c>
      <c r="T46" s="10" t="s">
        <v>498</v>
      </c>
    </row>
    <row r="47" customFormat="false" ht="23.85" hidden="false" customHeight="false" outlineLevel="0" collapsed="false">
      <c r="A47" s="10" t="s">
        <v>499</v>
      </c>
      <c r="B47" s="10" t="s">
        <v>404</v>
      </c>
      <c r="C47" s="10" t="s">
        <v>163</v>
      </c>
      <c r="D47" s="10" t="s">
        <v>164</v>
      </c>
      <c r="E47" s="10" t="s">
        <v>165</v>
      </c>
      <c r="F47" s="10" t="s">
        <v>153</v>
      </c>
      <c r="G47" s="10" t="s">
        <v>91</v>
      </c>
      <c r="H47" s="10" t="s">
        <v>500</v>
      </c>
      <c r="I47" s="10" t="s">
        <v>501</v>
      </c>
      <c r="J47" s="10" t="s">
        <v>502</v>
      </c>
      <c r="K47" s="10" t="s">
        <v>473</v>
      </c>
      <c r="L47" s="10" t="s">
        <v>503</v>
      </c>
      <c r="M47" s="10" t="s">
        <v>504</v>
      </c>
      <c r="N47" s="10" t="s">
        <v>14</v>
      </c>
      <c r="O47" s="10" t="s">
        <v>126</v>
      </c>
      <c r="P47" s="10" t="s">
        <v>81</v>
      </c>
      <c r="Q47" s="10" t="s">
        <v>106</v>
      </c>
      <c r="R47" s="10" t="s">
        <v>505</v>
      </c>
      <c r="S47" s="11" t="s">
        <v>506</v>
      </c>
      <c r="T47" s="10" t="s">
        <v>507</v>
      </c>
    </row>
    <row r="48" customFormat="false" ht="23.85" hidden="false" customHeight="false" outlineLevel="0" collapsed="false">
      <c r="A48" s="10" t="s">
        <v>508</v>
      </c>
      <c r="B48" s="10" t="s">
        <v>404</v>
      </c>
      <c r="C48" s="10" t="s">
        <v>163</v>
      </c>
      <c r="D48" s="10" t="s">
        <v>164</v>
      </c>
      <c r="E48" s="10" t="s">
        <v>165</v>
      </c>
      <c r="F48" s="10" t="s">
        <v>153</v>
      </c>
      <c r="G48" s="10" t="s">
        <v>134</v>
      </c>
      <c r="H48" s="10" t="s">
        <v>509</v>
      </c>
      <c r="I48" s="10" t="s">
        <v>501</v>
      </c>
      <c r="J48" s="10" t="s">
        <v>510</v>
      </c>
      <c r="K48" s="10" t="s">
        <v>473</v>
      </c>
      <c r="L48" s="10" t="s">
        <v>503</v>
      </c>
      <c r="M48" s="10" t="s">
        <v>511</v>
      </c>
      <c r="N48" s="10" t="s">
        <v>14</v>
      </c>
      <c r="O48" s="10" t="s">
        <v>126</v>
      </c>
      <c r="P48" s="10" t="s">
        <v>512</v>
      </c>
      <c r="Q48" s="10" t="s">
        <v>106</v>
      </c>
      <c r="R48" s="10" t="s">
        <v>505</v>
      </c>
      <c r="S48" s="11" t="s">
        <v>506</v>
      </c>
      <c r="T48" s="10" t="s">
        <v>513</v>
      </c>
    </row>
    <row r="49" customFormat="false" ht="23.85" hidden="false" customHeight="false" outlineLevel="0" collapsed="false">
      <c r="A49" s="10" t="s">
        <v>514</v>
      </c>
      <c r="B49" s="10" t="s">
        <v>404</v>
      </c>
      <c r="C49" s="10" t="s">
        <v>163</v>
      </c>
      <c r="D49" s="10" t="s">
        <v>164</v>
      </c>
      <c r="E49" s="10" t="s">
        <v>165</v>
      </c>
      <c r="F49" s="10" t="s">
        <v>395</v>
      </c>
      <c r="G49" s="10" t="s">
        <v>134</v>
      </c>
      <c r="H49" s="10" t="s">
        <v>515</v>
      </c>
      <c r="I49" s="10" t="s">
        <v>516</v>
      </c>
      <c r="J49" s="10" t="s">
        <v>517</v>
      </c>
      <c r="K49" s="10" t="s">
        <v>518</v>
      </c>
      <c r="L49" s="10" t="s">
        <v>503</v>
      </c>
      <c r="M49" s="10" t="s">
        <v>519</v>
      </c>
      <c r="N49" s="10" t="s">
        <v>12</v>
      </c>
      <c r="O49" s="10" t="s">
        <v>520</v>
      </c>
      <c r="P49" s="10" t="s">
        <v>521</v>
      </c>
      <c r="Q49" s="10" t="s">
        <v>117</v>
      </c>
      <c r="R49" s="10" t="s">
        <v>522</v>
      </c>
      <c r="S49" s="11" t="s">
        <v>523</v>
      </c>
      <c r="T49" s="10" t="s">
        <v>524</v>
      </c>
    </row>
    <row r="50" customFormat="false" ht="23.85" hidden="false" customHeight="false" outlineLevel="0" collapsed="false">
      <c r="A50" s="10" t="s">
        <v>525</v>
      </c>
      <c r="B50" s="10" t="s">
        <v>404</v>
      </c>
      <c r="C50" s="10" t="s">
        <v>187</v>
      </c>
      <c r="D50" s="10" t="s">
        <v>188</v>
      </c>
      <c r="E50" s="10" t="s">
        <v>263</v>
      </c>
      <c r="F50" s="10" t="s">
        <v>395</v>
      </c>
      <c r="G50" s="10" t="s">
        <v>134</v>
      </c>
      <c r="H50" s="10" t="s">
        <v>526</v>
      </c>
      <c r="I50" s="10" t="s">
        <v>516</v>
      </c>
      <c r="J50" s="10" t="s">
        <v>527</v>
      </c>
      <c r="K50" s="10" t="s">
        <v>528</v>
      </c>
      <c r="L50" s="10" t="s">
        <v>529</v>
      </c>
      <c r="M50" s="10" t="s">
        <v>519</v>
      </c>
      <c r="N50" s="10" t="s">
        <v>12</v>
      </c>
      <c r="O50" s="10" t="s">
        <v>520</v>
      </c>
      <c r="P50" s="10" t="s">
        <v>521</v>
      </c>
      <c r="Q50" s="10" t="s">
        <v>117</v>
      </c>
      <c r="R50" s="10" t="s">
        <v>530</v>
      </c>
      <c r="S50" s="11" t="s">
        <v>531</v>
      </c>
      <c r="T50" s="10" t="s">
        <v>532</v>
      </c>
    </row>
    <row r="51" customFormat="false" ht="23.85" hidden="false" customHeight="false" outlineLevel="0" collapsed="false">
      <c r="A51" s="10" t="s">
        <v>533</v>
      </c>
      <c r="B51" s="10" t="s">
        <v>404</v>
      </c>
      <c r="C51" s="10" t="s">
        <v>187</v>
      </c>
      <c r="D51" s="10" t="s">
        <v>188</v>
      </c>
      <c r="E51" s="10" t="s">
        <v>263</v>
      </c>
      <c r="F51" s="10" t="s">
        <v>395</v>
      </c>
      <c r="G51" s="10" t="s">
        <v>134</v>
      </c>
      <c r="H51" s="10" t="s">
        <v>534</v>
      </c>
      <c r="I51" s="10" t="s">
        <v>535</v>
      </c>
      <c r="J51" s="10" t="s">
        <v>536</v>
      </c>
      <c r="K51" s="10" t="s">
        <v>528</v>
      </c>
      <c r="L51" s="10" t="s">
        <v>537</v>
      </c>
      <c r="M51" s="10" t="s">
        <v>519</v>
      </c>
      <c r="N51" s="10" t="s">
        <v>12</v>
      </c>
      <c r="O51" s="10" t="s">
        <v>520</v>
      </c>
      <c r="P51" s="10" t="s">
        <v>538</v>
      </c>
      <c r="Q51" s="10" t="s">
        <v>539</v>
      </c>
      <c r="R51" s="10" t="s">
        <v>540</v>
      </c>
      <c r="S51" s="11" t="s">
        <v>541</v>
      </c>
      <c r="T51" s="10"/>
    </row>
    <row r="52" customFormat="false" ht="23.85" hidden="false" customHeight="false" outlineLevel="0" collapsed="false">
      <c r="A52" s="10" t="s">
        <v>542</v>
      </c>
      <c r="B52" s="10" t="s">
        <v>404</v>
      </c>
      <c r="C52" s="10" t="s">
        <v>187</v>
      </c>
      <c r="D52" s="10" t="s">
        <v>188</v>
      </c>
      <c r="E52" s="10" t="s">
        <v>263</v>
      </c>
      <c r="F52" s="10" t="s">
        <v>395</v>
      </c>
      <c r="G52" s="10" t="s">
        <v>134</v>
      </c>
      <c r="H52" s="10" t="s">
        <v>543</v>
      </c>
      <c r="I52" s="10" t="s">
        <v>516</v>
      </c>
      <c r="J52" s="10" t="s">
        <v>544</v>
      </c>
      <c r="K52" s="10" t="s">
        <v>528</v>
      </c>
      <c r="L52" s="10" t="s">
        <v>545</v>
      </c>
      <c r="M52" s="10" t="s">
        <v>546</v>
      </c>
      <c r="N52" s="10" t="s">
        <v>12</v>
      </c>
      <c r="O52" s="10" t="s">
        <v>547</v>
      </c>
      <c r="P52" s="10" t="s">
        <v>538</v>
      </c>
      <c r="Q52" s="10" t="s">
        <v>117</v>
      </c>
      <c r="R52" s="10" t="s">
        <v>548</v>
      </c>
      <c r="S52" s="11" t="s">
        <v>549</v>
      </c>
      <c r="T52" s="10" t="s">
        <v>550</v>
      </c>
    </row>
    <row r="53" customFormat="false" ht="23.85" hidden="false" customHeight="false" outlineLevel="0" collapsed="false">
      <c r="A53" s="10" t="s">
        <v>551</v>
      </c>
      <c r="B53" s="10" t="s">
        <v>404</v>
      </c>
      <c r="C53" s="10" t="s">
        <v>187</v>
      </c>
      <c r="D53" s="10" t="s">
        <v>188</v>
      </c>
      <c r="E53" s="10" t="s">
        <v>263</v>
      </c>
      <c r="F53" s="10" t="s">
        <v>90</v>
      </c>
      <c r="G53" s="10" t="s">
        <v>134</v>
      </c>
      <c r="H53" s="10" t="s">
        <v>552</v>
      </c>
      <c r="I53" s="10" t="s">
        <v>516</v>
      </c>
      <c r="J53" s="10" t="s">
        <v>553</v>
      </c>
      <c r="K53" s="10" t="s">
        <v>493</v>
      </c>
      <c r="L53" s="10" t="s">
        <v>420</v>
      </c>
      <c r="M53" s="10" t="s">
        <v>519</v>
      </c>
      <c r="N53" s="10" t="s">
        <v>14</v>
      </c>
      <c r="O53" s="10" t="s">
        <v>554</v>
      </c>
      <c r="P53" s="10" t="s">
        <v>521</v>
      </c>
      <c r="Q53" s="10" t="s">
        <v>117</v>
      </c>
      <c r="R53" s="10" t="s">
        <v>555</v>
      </c>
      <c r="S53" s="11" t="s">
        <v>556</v>
      </c>
      <c r="T53" s="10"/>
    </row>
    <row r="54" customFormat="false" ht="23.85" hidden="false" customHeight="false" outlineLevel="0" collapsed="false">
      <c r="A54" s="10" t="s">
        <v>557</v>
      </c>
      <c r="B54" s="10" t="s">
        <v>404</v>
      </c>
      <c r="C54" s="10" t="s">
        <v>187</v>
      </c>
      <c r="D54" s="10" t="s">
        <v>188</v>
      </c>
      <c r="E54" s="10" t="s">
        <v>263</v>
      </c>
      <c r="F54" s="10" t="s">
        <v>217</v>
      </c>
      <c r="G54" s="10" t="s">
        <v>134</v>
      </c>
      <c r="H54" s="10" t="inlineStr">
        <is>
          <t xml:space="preserve">Formal pre-court diversion</t>
        </is>
      </c>
      <c r="I54" s="10" t="inlineStr">
        <is>
          <t xml:space="preserve">Effect on reoffending and violence</t>
        </is>
      </c>
      <c r="J54" s="10" t="inlineStr">
        <is>
          <t xml:space="preserve">−14% reoffending (moderate confidence, 35 studies); −25% violence (low confidence, 5 studies); UK average cost £1,426 per child</t>
        </is>
      </c>
      <c r="K54" s="10" t="inlineStr">
        <is>
          <t xml:space="preserve">Effective, cost unclear</t>
        </is>
      </c>
      <c r="L54" s="10" t="s">
        <v>561</v>
      </c>
      <c r="M54" s="10" t="s">
        <v>562</v>
      </c>
      <c r="N54" s="10" t="s">
        <v>12</v>
      </c>
      <c r="O54" s="10" t="s">
        <v>520</v>
      </c>
      <c r="P54" s="10" t="inlineStr">
        <is>
          <t xml:space="preserve">Mostly North America and Australia; UK costs</t>
        </is>
      </c>
      <c r="Q54" s="10" t="inlineStr">
        <is>
          <t xml:space="preserve">not stated</t>
        </is>
      </c>
      <c r="R54" s="10" t="inlineStr">
        <is>
          <t xml:space="preserve">Youth Endowment Fund Toolkit, Formal pre-court diversion</t>
        </is>
      </c>
      <c r="S54" s="11" t="inlineStr">
        <is>
          <t xml:space="preserve">https://youthendowmentfund.org.uk/toolkit/formal-pre-court-diversion/</t>
        </is>
      </c>
      <c r="T54" s="10" t="inlineStr">
        <is>
          <t xml:space="preserve">Replaces YEF's earlier pre-court diversion strand (−13% reoffending, high confidence, low cost). Informal pre-court diversion is now a separate strand.</t>
        </is>
      </c>
    </row>
    <row r="55" customFormat="false" ht="23.85" hidden="false" customHeight="false" outlineLevel="0" collapsed="false">
      <c r="A55" s="10" t="s">
        <v>566</v>
      </c>
      <c r="B55" s="10" t="s">
        <v>404</v>
      </c>
      <c r="C55" s="10" t="s">
        <v>187</v>
      </c>
      <c r="D55" s="10" t="s">
        <v>188</v>
      </c>
      <c r="E55" s="10" t="s">
        <v>165</v>
      </c>
      <c r="F55" s="10" t="s">
        <v>76</v>
      </c>
      <c r="G55" s="10" t="s">
        <v>134</v>
      </c>
      <c r="H55" s="10" t="s">
        <v>567</v>
      </c>
      <c r="I55" s="10" t="s">
        <v>568</v>
      </c>
      <c r="J55" s="10" t="s">
        <v>569</v>
      </c>
      <c r="K55" s="10" t="s">
        <v>451</v>
      </c>
      <c r="L55" s="10" t="s">
        <v>570</v>
      </c>
      <c r="M55" s="10"/>
      <c r="N55" s="10" t="s">
        <v>10</v>
      </c>
      <c r="O55" s="10" t="s">
        <v>571</v>
      </c>
      <c r="P55" s="10" t="s">
        <v>81</v>
      </c>
      <c r="Q55" s="10" t="s">
        <v>454</v>
      </c>
      <c r="R55" s="10" t="s">
        <v>572</v>
      </c>
      <c r="S55" s="11" t="s">
        <v>573</v>
      </c>
      <c r="T55" s="10" t="s">
        <v>574</v>
      </c>
    </row>
    <row r="56" customFormat="false" ht="23.85" hidden="false" customHeight="false" outlineLevel="0" collapsed="false">
      <c r="A56" s="10" t="s">
        <v>575</v>
      </c>
      <c r="B56" s="10" t="s">
        <v>404</v>
      </c>
      <c r="C56" s="10" t="s">
        <v>187</v>
      </c>
      <c r="D56" s="10" t="s">
        <v>188</v>
      </c>
      <c r="E56" s="10" t="s">
        <v>165</v>
      </c>
      <c r="F56" s="10" t="s">
        <v>217</v>
      </c>
      <c r="G56" s="10" t="s">
        <v>134</v>
      </c>
      <c r="H56" s="10" t="s">
        <v>576</v>
      </c>
      <c r="I56" s="10" t="s">
        <v>577</v>
      </c>
      <c r="J56" s="10" t="s">
        <v>578</v>
      </c>
      <c r="K56" s="10" t="s">
        <v>451</v>
      </c>
      <c r="L56" s="10" t="s">
        <v>579</v>
      </c>
      <c r="M56" s="10"/>
      <c r="N56" s="10" t="s">
        <v>10</v>
      </c>
      <c r="O56" s="10" t="s">
        <v>580</v>
      </c>
      <c r="P56" s="10" t="s">
        <v>96</v>
      </c>
      <c r="Q56" s="10" t="s">
        <v>117</v>
      </c>
      <c r="R56" s="10" t="s">
        <v>581</v>
      </c>
      <c r="S56" s="11" t="s">
        <v>582</v>
      </c>
      <c r="T56" s="10" t="s">
        <v>583</v>
      </c>
    </row>
    <row r="57" customFormat="false" ht="23.85" hidden="false" customHeight="false" outlineLevel="0" collapsed="false">
      <c r="A57" s="10" t="s">
        <v>584</v>
      </c>
      <c r="B57" s="10" t="s">
        <v>404</v>
      </c>
      <c r="C57" s="10" t="s">
        <v>187</v>
      </c>
      <c r="D57" s="10" t="s">
        <v>188</v>
      </c>
      <c r="E57" s="10" t="s">
        <v>263</v>
      </c>
      <c r="F57" s="10" t="s">
        <v>395</v>
      </c>
      <c r="G57" s="10" t="s">
        <v>134</v>
      </c>
      <c r="H57" s="10" t="s">
        <v>585</v>
      </c>
      <c r="I57" s="10" t="s">
        <v>586</v>
      </c>
      <c r="J57" s="10" t="s">
        <v>587</v>
      </c>
      <c r="K57" s="10" t="s">
        <v>493</v>
      </c>
      <c r="L57" s="10" t="s">
        <v>588</v>
      </c>
      <c r="M57" s="10" t="s">
        <v>589</v>
      </c>
      <c r="N57" s="10" t="s">
        <v>12</v>
      </c>
      <c r="O57" s="10" t="s">
        <v>590</v>
      </c>
      <c r="P57" s="10" t="s">
        <v>70</v>
      </c>
      <c r="Q57" s="10" t="s">
        <v>591</v>
      </c>
      <c r="R57" s="10" t="s">
        <v>592</v>
      </c>
      <c r="S57" s="11" t="s">
        <v>593</v>
      </c>
      <c r="T57" s="10" t="s">
        <v>594</v>
      </c>
    </row>
    <row r="58" customFormat="false" ht="23.85" hidden="false" customHeight="false" outlineLevel="0" collapsed="false">
      <c r="A58" s="10" t="s">
        <v>595</v>
      </c>
      <c r="B58" s="10" t="s">
        <v>404</v>
      </c>
      <c r="C58" s="10" t="s">
        <v>261</v>
      </c>
      <c r="D58" s="10" t="s">
        <v>262</v>
      </c>
      <c r="E58" s="10" t="s">
        <v>111</v>
      </c>
      <c r="F58" s="10" t="s">
        <v>217</v>
      </c>
      <c r="G58" s="10" t="s">
        <v>91</v>
      </c>
      <c r="H58" s="10" t="s">
        <v>596</v>
      </c>
      <c r="I58" s="10" t="s">
        <v>597</v>
      </c>
      <c r="J58" s="10" t="s">
        <v>598</v>
      </c>
      <c r="K58" s="10" t="s">
        <v>528</v>
      </c>
      <c r="L58" s="10" t="s">
        <v>420</v>
      </c>
      <c r="M58" s="10" t="s">
        <v>599</v>
      </c>
      <c r="N58" s="10" t="s">
        <v>12</v>
      </c>
      <c r="O58" s="10" t="s">
        <v>600</v>
      </c>
      <c r="P58" s="10" t="s">
        <v>601</v>
      </c>
      <c r="Q58" s="10" t="s">
        <v>117</v>
      </c>
      <c r="R58" s="10" t="s">
        <v>602</v>
      </c>
      <c r="S58" s="11" t="s">
        <v>603</v>
      </c>
      <c r="T58" s="10" t="s">
        <v>604</v>
      </c>
    </row>
    <row r="59" customFormat="false" ht="23.85" hidden="false" customHeight="false" outlineLevel="0" collapsed="false">
      <c r="A59" s="10" t="s">
        <v>605</v>
      </c>
      <c r="B59" s="10" t="s">
        <v>404</v>
      </c>
      <c r="C59" s="10" t="s">
        <v>261</v>
      </c>
      <c r="D59" s="10" t="s">
        <v>262</v>
      </c>
      <c r="E59" s="10" t="s">
        <v>216</v>
      </c>
      <c r="F59" s="10" t="s">
        <v>217</v>
      </c>
      <c r="G59" s="10" t="s">
        <v>91</v>
      </c>
      <c r="H59" s="10" t="s">
        <v>606</v>
      </c>
      <c r="I59" s="10" t="s">
        <v>607</v>
      </c>
      <c r="J59" s="10" t="s">
        <v>608</v>
      </c>
      <c r="K59" s="10" t="s">
        <v>493</v>
      </c>
      <c r="L59" s="10" t="s">
        <v>609</v>
      </c>
      <c r="M59" s="10" t="s">
        <v>610</v>
      </c>
      <c r="N59" s="10" t="s">
        <v>16</v>
      </c>
      <c r="O59" s="10" t="s">
        <v>611</v>
      </c>
      <c r="P59" s="10" t="s">
        <v>81</v>
      </c>
      <c r="Q59" s="10" t="s">
        <v>202</v>
      </c>
      <c r="R59" s="10" t="s">
        <v>612</v>
      </c>
      <c r="S59" s="11" t="s">
        <v>613</v>
      </c>
      <c r="T59" s="10" t="s">
        <v>614</v>
      </c>
    </row>
    <row r="60" customFormat="false" ht="23.85" hidden="false" customHeight="false" outlineLevel="0" collapsed="false">
      <c r="A60" s="10" t="s">
        <v>615</v>
      </c>
      <c r="B60" s="10" t="s">
        <v>404</v>
      </c>
      <c r="C60" s="10" t="s">
        <v>187</v>
      </c>
      <c r="D60" s="10" t="s">
        <v>188</v>
      </c>
      <c r="E60" s="10" t="s">
        <v>263</v>
      </c>
      <c r="F60" s="10" t="s">
        <v>395</v>
      </c>
      <c r="G60" s="10" t="s">
        <v>65</v>
      </c>
      <c r="H60" s="10" t="s">
        <v>616</v>
      </c>
      <c r="I60" s="10" t="s">
        <v>501</v>
      </c>
      <c r="J60" s="10" t="s">
        <v>617</v>
      </c>
      <c r="K60" s="10" t="s">
        <v>473</v>
      </c>
      <c r="L60" s="10" t="s">
        <v>618</v>
      </c>
      <c r="M60" s="10" t="s">
        <v>619</v>
      </c>
      <c r="N60" s="10" t="s">
        <v>14</v>
      </c>
      <c r="O60" s="10" t="s">
        <v>620</v>
      </c>
      <c r="P60" s="10" t="s">
        <v>268</v>
      </c>
      <c r="Q60" s="10" t="s">
        <v>279</v>
      </c>
      <c r="R60" s="10" t="s">
        <v>621</v>
      </c>
      <c r="S60" s="11" t="s">
        <v>622</v>
      </c>
      <c r="T60" s="10" t="s">
        <v>623</v>
      </c>
    </row>
    <row r="61" customFormat="false" ht="23.85" hidden="false" customHeight="false" outlineLevel="0" collapsed="false">
      <c r="A61" s="10" t="s">
        <v>624</v>
      </c>
      <c r="B61" s="10" t="s">
        <v>404</v>
      </c>
      <c r="C61" s="10" t="s">
        <v>261</v>
      </c>
      <c r="D61" s="10" t="s">
        <v>262</v>
      </c>
      <c r="E61" s="10" t="s">
        <v>274</v>
      </c>
      <c r="F61" s="10" t="s">
        <v>90</v>
      </c>
      <c r="G61" s="10" t="s">
        <v>91</v>
      </c>
      <c r="H61" s="10" t="s">
        <v>625</v>
      </c>
      <c r="I61" s="10" t="s">
        <v>501</v>
      </c>
      <c r="J61" s="10" t="s">
        <v>626</v>
      </c>
      <c r="K61" s="10" t="s">
        <v>473</v>
      </c>
      <c r="L61" s="10" t="s">
        <v>627</v>
      </c>
      <c r="M61" s="10" t="s">
        <v>628</v>
      </c>
      <c r="N61" s="10" t="s">
        <v>16</v>
      </c>
      <c r="O61" s="10" t="s">
        <v>629</v>
      </c>
      <c r="P61" s="10" t="s">
        <v>81</v>
      </c>
      <c r="Q61" s="10" t="s">
        <v>202</v>
      </c>
      <c r="R61" s="10" t="s">
        <v>630</v>
      </c>
      <c r="S61" s="11" t="s">
        <v>631</v>
      </c>
      <c r="T61" s="10" t="s">
        <v>632</v>
      </c>
    </row>
    <row r="62" customFormat="false" ht="23.85" hidden="false" customHeight="false" outlineLevel="0" collapsed="false">
      <c r="A62" s="10" t="s">
        <v>633</v>
      </c>
      <c r="B62" s="10" t="s">
        <v>404</v>
      </c>
      <c r="C62" s="10" t="s">
        <v>233</v>
      </c>
      <c r="D62" s="10" t="s">
        <v>234</v>
      </c>
      <c r="E62" s="10" t="s">
        <v>274</v>
      </c>
      <c r="F62" s="10" t="s">
        <v>90</v>
      </c>
      <c r="G62" s="10" t="s">
        <v>91</v>
      </c>
      <c r="H62" s="10" t="s">
        <v>634</v>
      </c>
      <c r="I62" s="10" t="s">
        <v>406</v>
      </c>
      <c r="J62" s="10" t="s">
        <v>635</v>
      </c>
      <c r="K62" s="10" t="s">
        <v>419</v>
      </c>
      <c r="L62" s="10" t="s">
        <v>420</v>
      </c>
      <c r="M62" s="10" t="s">
        <v>636</v>
      </c>
      <c r="N62" s="10" t="s">
        <v>12</v>
      </c>
      <c r="O62" s="10" t="s">
        <v>637</v>
      </c>
      <c r="P62" s="10" t="s">
        <v>638</v>
      </c>
      <c r="Q62" s="10" t="s">
        <v>639</v>
      </c>
      <c r="R62" s="10" t="s">
        <v>640</v>
      </c>
      <c r="S62" s="11" t="s">
        <v>641</v>
      </c>
      <c r="T62" s="10" t="s">
        <v>642</v>
      </c>
    </row>
    <row r="63" customFormat="false" ht="23.85" hidden="false" customHeight="false" outlineLevel="0" collapsed="false">
      <c r="A63" s="10" t="s">
        <v>643</v>
      </c>
      <c r="B63" s="10" t="s">
        <v>404</v>
      </c>
      <c r="C63" s="10" t="s">
        <v>233</v>
      </c>
      <c r="D63" s="10" t="s">
        <v>234</v>
      </c>
      <c r="E63" s="10" t="s">
        <v>274</v>
      </c>
      <c r="F63" s="10" t="s">
        <v>217</v>
      </c>
      <c r="G63" s="10" t="s">
        <v>91</v>
      </c>
      <c r="H63" s="10" t="s">
        <v>644</v>
      </c>
      <c r="I63" s="10" t="s">
        <v>645</v>
      </c>
      <c r="J63" s="10" t="s">
        <v>646</v>
      </c>
      <c r="K63" s="10" t="s">
        <v>473</v>
      </c>
      <c r="L63" s="10" t="s">
        <v>647</v>
      </c>
      <c r="M63" s="10" t="s">
        <v>648</v>
      </c>
      <c r="N63" s="10" t="s">
        <v>12</v>
      </c>
      <c r="O63" s="10" t="s">
        <v>649</v>
      </c>
      <c r="P63" s="10" t="s">
        <v>81</v>
      </c>
      <c r="Q63" s="10" t="s">
        <v>202</v>
      </c>
      <c r="R63" s="10" t="s">
        <v>650</v>
      </c>
      <c r="S63" s="11" t="s">
        <v>651</v>
      </c>
      <c r="T63" s="10" t="s">
        <v>652</v>
      </c>
    </row>
    <row r="64" customFormat="false" ht="23.85" hidden="false" customHeight="false" outlineLevel="0" collapsed="false">
      <c r="A64" s="10" t="s">
        <v>653</v>
      </c>
      <c r="B64" s="10" t="s">
        <v>404</v>
      </c>
      <c r="C64" s="10" t="s">
        <v>233</v>
      </c>
      <c r="D64" s="10" t="s">
        <v>234</v>
      </c>
      <c r="E64" s="10" t="s">
        <v>274</v>
      </c>
      <c r="F64" s="10" t="s">
        <v>90</v>
      </c>
      <c r="G64" s="10" t="s">
        <v>134</v>
      </c>
      <c r="H64" s="10" t="s">
        <v>654</v>
      </c>
      <c r="I64" s="10" t="s">
        <v>501</v>
      </c>
      <c r="J64" s="10" t="s">
        <v>655</v>
      </c>
      <c r="K64" s="10" t="s">
        <v>473</v>
      </c>
      <c r="L64" s="10" t="s">
        <v>452</v>
      </c>
      <c r="M64" s="10" t="s">
        <v>656</v>
      </c>
      <c r="N64" s="10" t="s">
        <v>14</v>
      </c>
      <c r="O64" s="10" t="s">
        <v>657</v>
      </c>
      <c r="P64" s="10" t="s">
        <v>81</v>
      </c>
      <c r="Q64" s="10" t="s">
        <v>658</v>
      </c>
      <c r="R64" s="10" t="s">
        <v>659</v>
      </c>
      <c r="S64" s="11" t="s">
        <v>660</v>
      </c>
      <c r="T64" s="10" t="s">
        <v>661</v>
      </c>
    </row>
    <row r="65" customFormat="false" ht="23.85" hidden="false" customHeight="false" outlineLevel="0" collapsed="false">
      <c r="A65" s="10" t="s">
        <v>662</v>
      </c>
      <c r="B65" s="10" t="s">
        <v>404</v>
      </c>
      <c r="C65" s="10" t="s">
        <v>233</v>
      </c>
      <c r="D65" s="10" t="s">
        <v>234</v>
      </c>
      <c r="E65" s="10"/>
      <c r="F65" s="10" t="s">
        <v>395</v>
      </c>
      <c r="G65" s="10" t="s">
        <v>134</v>
      </c>
      <c r="H65" s="10" t="s">
        <v>663</v>
      </c>
      <c r="I65" s="10" t="s">
        <v>501</v>
      </c>
      <c r="J65" s="10" t="s">
        <v>664</v>
      </c>
      <c r="K65" s="10" t="s">
        <v>473</v>
      </c>
      <c r="L65" s="10" t="s">
        <v>545</v>
      </c>
      <c r="M65" s="10" t="s">
        <v>665</v>
      </c>
      <c r="N65" s="10" t="s">
        <v>14</v>
      </c>
      <c r="O65" s="10" t="s">
        <v>666</v>
      </c>
      <c r="P65" s="10" t="s">
        <v>70</v>
      </c>
      <c r="Q65" s="10" t="s">
        <v>667</v>
      </c>
      <c r="R65" s="10" t="s">
        <v>668</v>
      </c>
      <c r="S65" s="11" t="s">
        <v>669</v>
      </c>
      <c r="T65" s="10" t="s">
        <v>670</v>
      </c>
    </row>
    <row r="66" customFormat="false" ht="23.85" hidden="false" customHeight="false" outlineLevel="0" collapsed="false">
      <c r="A66" s="10" t="s">
        <v>671</v>
      </c>
      <c r="B66" s="10" t="s">
        <v>404</v>
      </c>
      <c r="C66" s="10" t="s">
        <v>233</v>
      </c>
      <c r="D66" s="10" t="s">
        <v>234</v>
      </c>
      <c r="E66" s="10"/>
      <c r="F66" s="10" t="s">
        <v>395</v>
      </c>
      <c r="G66" s="10" t="s">
        <v>134</v>
      </c>
      <c r="H66" s="10" t="s">
        <v>672</v>
      </c>
      <c r="I66" s="10" t="s">
        <v>673</v>
      </c>
      <c r="J66" s="10" t="s">
        <v>674</v>
      </c>
      <c r="K66" s="10" t="s">
        <v>528</v>
      </c>
      <c r="L66" s="10" t="s">
        <v>675</v>
      </c>
      <c r="M66" s="10" t="s">
        <v>676</v>
      </c>
      <c r="N66" s="10" t="s">
        <v>12</v>
      </c>
      <c r="O66" s="10" t="s">
        <v>677</v>
      </c>
      <c r="P66" s="10" t="s">
        <v>70</v>
      </c>
      <c r="Q66" s="10" t="s">
        <v>678</v>
      </c>
      <c r="R66" s="10" t="s">
        <v>679</v>
      </c>
      <c r="S66" s="11" t="s">
        <v>680</v>
      </c>
      <c r="T66" s="10" t="s">
        <v>681</v>
      </c>
    </row>
    <row r="67" customFormat="false" ht="23.85" hidden="false" customHeight="false" outlineLevel="0" collapsed="false">
      <c r="A67" s="10" t="s">
        <v>682</v>
      </c>
      <c r="B67" s="10" t="s">
        <v>404</v>
      </c>
      <c r="C67" s="10" t="s">
        <v>233</v>
      </c>
      <c r="D67" s="10" t="s">
        <v>234</v>
      </c>
      <c r="E67" s="10"/>
      <c r="F67" s="10" t="s">
        <v>323</v>
      </c>
      <c r="G67" s="10" t="s">
        <v>65</v>
      </c>
      <c r="H67" s="10" t="s">
        <v>683</v>
      </c>
      <c r="I67" s="10" t="s">
        <v>684</v>
      </c>
      <c r="J67" s="10" t="s">
        <v>685</v>
      </c>
      <c r="K67" s="10" t="s">
        <v>473</v>
      </c>
      <c r="L67" s="10" t="s">
        <v>686</v>
      </c>
      <c r="M67" s="10" t="s">
        <v>687</v>
      </c>
      <c r="N67" s="10" t="s">
        <v>12</v>
      </c>
      <c r="O67" s="10" t="s">
        <v>688</v>
      </c>
      <c r="P67" s="10" t="s">
        <v>689</v>
      </c>
      <c r="Q67" s="10" t="s">
        <v>279</v>
      </c>
      <c r="R67" s="10" t="s">
        <v>690</v>
      </c>
      <c r="S67" s="11" t="s">
        <v>691</v>
      </c>
      <c r="T67" s="10" t="s">
        <v>692</v>
      </c>
    </row>
    <row r="68" customFormat="false" ht="23.85" hidden="false" customHeight="false" outlineLevel="0" collapsed="false">
      <c r="A68" s="10" t="s">
        <v>693</v>
      </c>
      <c r="B68" s="10" t="s">
        <v>404</v>
      </c>
      <c r="C68" s="10" t="s">
        <v>233</v>
      </c>
      <c r="D68" s="10" t="s">
        <v>234</v>
      </c>
      <c r="E68" s="10" t="s">
        <v>274</v>
      </c>
      <c r="F68" s="10" t="s">
        <v>176</v>
      </c>
      <c r="G68" s="10" t="s">
        <v>65</v>
      </c>
      <c r="H68" s="10" t="s">
        <v>694</v>
      </c>
      <c r="I68" s="10" t="s">
        <v>695</v>
      </c>
      <c r="J68" s="10" t="s">
        <v>696</v>
      </c>
      <c r="K68" s="10" t="s">
        <v>473</v>
      </c>
      <c r="L68" s="10" t="s">
        <v>697</v>
      </c>
      <c r="M68" s="10" t="s">
        <v>698</v>
      </c>
      <c r="N68" s="10" t="s">
        <v>14</v>
      </c>
      <c r="O68" s="10" t="s">
        <v>699</v>
      </c>
      <c r="P68" s="10" t="s">
        <v>81</v>
      </c>
      <c r="Q68" s="10" t="s">
        <v>202</v>
      </c>
      <c r="R68" s="10" t="s">
        <v>700</v>
      </c>
      <c r="S68" s="11" t="s">
        <v>701</v>
      </c>
      <c r="T68" s="10" t="s">
        <v>940</v>
      </c>
    </row>
    <row r="69" customFormat="false" ht="23.85" hidden="false" customHeight="false" outlineLevel="0" collapsed="false">
      <c r="A69" s="10" t="s">
        <v>702</v>
      </c>
      <c r="B69" s="10" t="s">
        <v>404</v>
      </c>
      <c r="C69" s="10" t="s">
        <v>62</v>
      </c>
      <c r="D69" s="10" t="s">
        <v>63</v>
      </c>
      <c r="E69" s="10" t="s">
        <v>274</v>
      </c>
      <c r="F69" s="10" t="s">
        <v>76</v>
      </c>
      <c r="G69" s="10" t="s">
        <v>91</v>
      </c>
      <c r="H69" s="10" t="s">
        <v>703</v>
      </c>
      <c r="I69" s="10" t="s">
        <v>501</v>
      </c>
      <c r="J69" s="10" t="s">
        <v>704</v>
      </c>
      <c r="K69" s="10" t="s">
        <v>473</v>
      </c>
      <c r="L69" s="10" t="s">
        <v>705</v>
      </c>
      <c r="M69" s="10" t="s">
        <v>706</v>
      </c>
      <c r="N69" s="10" t="s">
        <v>12</v>
      </c>
      <c r="O69" s="10" t="s">
        <v>707</v>
      </c>
      <c r="P69" s="10" t="s">
        <v>81</v>
      </c>
      <c r="Q69" s="10" t="s">
        <v>202</v>
      </c>
      <c r="R69" s="10" t="s">
        <v>708</v>
      </c>
      <c r="S69" s="11" t="s">
        <v>709</v>
      </c>
      <c r="T69" s="10" t="s">
        <v>710</v>
      </c>
    </row>
    <row r="70" customFormat="false" ht="23.85" hidden="false" customHeight="false" outlineLevel="0" collapsed="false">
      <c r="A70" s="10" t="s">
        <v>711</v>
      </c>
      <c r="B70" s="10" t="s">
        <v>404</v>
      </c>
      <c r="C70" s="10" t="s">
        <v>233</v>
      </c>
      <c r="D70" s="10" t="s">
        <v>234</v>
      </c>
      <c r="E70" s="10"/>
      <c r="F70" s="10" t="s">
        <v>90</v>
      </c>
      <c r="G70" s="10" t="s">
        <v>91</v>
      </c>
      <c r="H70" s="10" t="s">
        <v>712</v>
      </c>
      <c r="I70" s="10" t="s">
        <v>713</v>
      </c>
      <c r="J70" s="10" t="s">
        <v>714</v>
      </c>
      <c r="K70" s="10" t="s">
        <v>518</v>
      </c>
      <c r="L70" s="10" t="s">
        <v>715</v>
      </c>
      <c r="M70" s="10" t="s">
        <v>716</v>
      </c>
      <c r="N70" s="10" t="s">
        <v>12</v>
      </c>
      <c r="O70" s="10" t="s">
        <v>717</v>
      </c>
      <c r="P70" s="10" t="s">
        <v>718</v>
      </c>
      <c r="Q70" s="10" t="s">
        <v>719</v>
      </c>
      <c r="R70" s="10" t="s">
        <v>720</v>
      </c>
      <c r="S70" s="11" t="s">
        <v>721</v>
      </c>
      <c r="T70" s="10" t="s">
        <v>722</v>
      </c>
    </row>
    <row r="71" customFormat="false" ht="23.85" hidden="false" customHeight="false" outlineLevel="0" collapsed="false">
      <c r="A71" s="10" t="s">
        <v>723</v>
      </c>
      <c r="B71" s="10" t="s">
        <v>404</v>
      </c>
      <c r="C71" s="10" t="s">
        <v>62</v>
      </c>
      <c r="D71" s="10" t="s">
        <v>63</v>
      </c>
      <c r="E71" s="10"/>
      <c r="F71" s="10" t="s">
        <v>90</v>
      </c>
      <c r="G71" s="10" t="s">
        <v>91</v>
      </c>
      <c r="H71" s="10" t="s">
        <v>724</v>
      </c>
      <c r="I71" s="10" t="s">
        <v>725</v>
      </c>
      <c r="J71" s="10" t="s">
        <v>726</v>
      </c>
      <c r="K71" s="10" t="s">
        <v>473</v>
      </c>
      <c r="L71" s="10" t="s">
        <v>727</v>
      </c>
      <c r="M71" s="10" t="s">
        <v>728</v>
      </c>
      <c r="N71" s="10" t="s">
        <v>10</v>
      </c>
      <c r="O71" s="10" t="s">
        <v>729</v>
      </c>
      <c r="P71" s="10" t="s">
        <v>730</v>
      </c>
      <c r="Q71" s="10" t="s">
        <v>731</v>
      </c>
      <c r="R71" s="10" t="s">
        <v>732</v>
      </c>
      <c r="S71" s="11" t="s">
        <v>733</v>
      </c>
      <c r="T71" s="10" t="s">
        <v>734</v>
      </c>
    </row>
    <row r="72" customFormat="false" ht="23.85" hidden="false" customHeight="false" outlineLevel="0" collapsed="false">
      <c r="A72" s="10" t="s">
        <v>735</v>
      </c>
      <c r="B72" s="10" t="s">
        <v>404</v>
      </c>
      <c r="C72" s="10" t="s">
        <v>62</v>
      </c>
      <c r="D72" s="10" t="s">
        <v>63</v>
      </c>
      <c r="E72" s="10"/>
      <c r="F72" s="10" t="s">
        <v>90</v>
      </c>
      <c r="G72" s="10" t="s">
        <v>91</v>
      </c>
      <c r="H72" s="10" t="s">
        <v>736</v>
      </c>
      <c r="I72" s="10" t="s">
        <v>737</v>
      </c>
      <c r="J72" s="10" t="s">
        <v>738</v>
      </c>
      <c r="K72" s="10" t="s">
        <v>419</v>
      </c>
      <c r="L72" s="10" t="s">
        <v>739</v>
      </c>
      <c r="M72" s="10" t="s">
        <v>740</v>
      </c>
      <c r="N72" s="10" t="s">
        <v>14</v>
      </c>
      <c r="O72" s="10" t="s">
        <v>741</v>
      </c>
      <c r="P72" s="10" t="s">
        <v>81</v>
      </c>
      <c r="Q72" s="10" t="s">
        <v>247</v>
      </c>
      <c r="R72" s="10" t="s">
        <v>742</v>
      </c>
      <c r="S72" s="11" t="s">
        <v>743</v>
      </c>
      <c r="T72" s="10" t="s">
        <v>744</v>
      </c>
    </row>
    <row r="73" customFormat="false" ht="23.85" hidden="false" customHeight="false" outlineLevel="0" collapsed="false">
      <c r="A73" s="10" t="s">
        <v>745</v>
      </c>
      <c r="B73" s="10" t="s">
        <v>746</v>
      </c>
      <c r="C73" s="10" t="s">
        <v>62</v>
      </c>
      <c r="D73" s="10" t="s">
        <v>63</v>
      </c>
      <c r="E73" s="10"/>
      <c r="F73" s="10" t="s">
        <v>747</v>
      </c>
      <c r="G73" s="10"/>
      <c r="H73" s="10" t="s">
        <v>748</v>
      </c>
      <c r="I73" s="10" t="s">
        <v>749</v>
      </c>
      <c r="J73" s="10" t="s">
        <v>750</v>
      </c>
      <c r="K73" s="10"/>
      <c r="L73" s="10"/>
      <c r="M73" s="10"/>
      <c r="N73" s="10" t="s">
        <v>10</v>
      </c>
      <c r="O73" s="10" t="s">
        <v>751</v>
      </c>
      <c r="P73" s="10" t="s">
        <v>96</v>
      </c>
      <c r="Q73" s="10" t="s">
        <v>296</v>
      </c>
      <c r="R73" s="10" t="s">
        <v>752</v>
      </c>
      <c r="S73" s="11" t="s">
        <v>753</v>
      </c>
      <c r="T73" s="10" t="inlineStr">
        <is>
          <t xml:space="preserve">Used to value health in social cost-benefit analysis. Differs from NICE's threshold, which is an opportunity cost. The 2026 Green Book no longer states a QALY value; it refers to supplementary guidance on health.</t>
        </is>
      </c>
    </row>
    <row r="74" customFormat="false" ht="23.85" hidden="false" customHeight="false" outlineLevel="0" collapsed="false">
      <c r="A74" s="10" t="s">
        <v>755</v>
      </c>
      <c r="B74" s="10" t="s">
        <v>746</v>
      </c>
      <c r="C74" s="10" t="s">
        <v>62</v>
      </c>
      <c r="D74" s="10" t="s">
        <v>63</v>
      </c>
      <c r="E74" s="10"/>
      <c r="F74" s="10" t="s">
        <v>747</v>
      </c>
      <c r="G74" s="10"/>
      <c r="H74" s="10" t="s">
        <v>756</v>
      </c>
      <c r="I74" s="10" t="s">
        <v>757</v>
      </c>
      <c r="J74" s="10" t="s">
        <v>758</v>
      </c>
      <c r="K74" s="10"/>
      <c r="L74" s="10"/>
      <c r="M74" s="10"/>
      <c r="N74" s="10" t="s">
        <v>10</v>
      </c>
      <c r="O74" s="10" t="s">
        <v>759</v>
      </c>
      <c r="P74" s="10" t="s">
        <v>96</v>
      </c>
      <c r="Q74" s="10" t="s">
        <v>139</v>
      </c>
      <c r="R74" s="10" t="s">
        <v>760</v>
      </c>
      <c r="S74" s="11" t="s">
        <v>761</v>
      </c>
      <c r="T74" s="10" t="s">
        <v>762</v>
      </c>
    </row>
    <row r="75" customFormat="false" ht="23.85" hidden="false" customHeight="false" outlineLevel="0" collapsed="false">
      <c r="A75" s="10" t="s">
        <v>763</v>
      </c>
      <c r="B75" s="10" t="s">
        <v>746</v>
      </c>
      <c r="C75" s="10" t="s">
        <v>62</v>
      </c>
      <c r="D75" s="10" t="s">
        <v>63</v>
      </c>
      <c r="E75" s="10"/>
      <c r="F75" s="10" t="s">
        <v>747</v>
      </c>
      <c r="G75" s="10"/>
      <c r="H75" s="10" t="s">
        <v>764</v>
      </c>
      <c r="I75" s="10" t="s">
        <v>749</v>
      </c>
      <c r="J75" s="10" t="s">
        <v>765</v>
      </c>
      <c r="K75" s="10"/>
      <c r="L75" s="10"/>
      <c r="M75" s="10"/>
      <c r="N75" s="10" t="s">
        <v>10</v>
      </c>
      <c r="O75" s="10" t="s">
        <v>766</v>
      </c>
      <c r="P75" s="10" t="s">
        <v>81</v>
      </c>
      <c r="Q75" s="10" t="s">
        <v>269</v>
      </c>
      <c r="R75" s="10" t="s">
        <v>767</v>
      </c>
      <c r="S75" s="11" t="s">
        <v>768</v>
      </c>
      <c r="T75" s="10"/>
    </row>
    <row r="76" customFormat="false" ht="23.85" hidden="false" customHeight="false" outlineLevel="0" collapsed="false">
      <c r="A76" s="10" t="s">
        <v>769</v>
      </c>
      <c r="B76" s="10" t="s">
        <v>746</v>
      </c>
      <c r="C76" s="10" t="s">
        <v>62</v>
      </c>
      <c r="D76" s="10" t="s">
        <v>63</v>
      </c>
      <c r="E76" s="10"/>
      <c r="F76" s="10" t="s">
        <v>747</v>
      </c>
      <c r="G76" s="10"/>
      <c r="H76" s="10" t="s">
        <v>770</v>
      </c>
      <c r="I76" s="10" t="s">
        <v>771</v>
      </c>
      <c r="J76" s="10" t="s">
        <v>772</v>
      </c>
      <c r="K76" s="10"/>
      <c r="L76" s="10"/>
      <c r="M76" s="10"/>
      <c r="N76" s="10" t="s">
        <v>10</v>
      </c>
      <c r="O76" s="10" t="s">
        <v>773</v>
      </c>
      <c r="P76" s="10" t="s">
        <v>96</v>
      </c>
      <c r="Q76" s="10" t="s">
        <v>269</v>
      </c>
      <c r="R76" s="10" t="s">
        <v>774</v>
      </c>
      <c r="S76" s="11" t="s">
        <v>775</v>
      </c>
      <c r="T76" s="10" t="s">
        <v>776</v>
      </c>
    </row>
    <row r="77" customFormat="false" ht="23.85" hidden="false" customHeight="false" outlineLevel="0" collapsed="false">
      <c r="A77" s="10" t="s">
        <v>777</v>
      </c>
      <c r="B77" s="10" t="s">
        <v>746</v>
      </c>
      <c r="C77" s="10" t="s">
        <v>62</v>
      </c>
      <c r="D77" s="10" t="s">
        <v>63</v>
      </c>
      <c r="E77" s="10"/>
      <c r="F77" s="10" t="s">
        <v>747</v>
      </c>
      <c r="G77" s="10"/>
      <c r="H77" s="10" t="s">
        <v>778</v>
      </c>
      <c r="I77" s="10" t="s">
        <v>771</v>
      </c>
      <c r="J77" s="10" t="s">
        <v>779</v>
      </c>
      <c r="K77" s="10"/>
      <c r="L77" s="10"/>
      <c r="M77" s="10"/>
      <c r="N77" s="10" t="s">
        <v>12</v>
      </c>
      <c r="O77" s="10" t="s">
        <v>780</v>
      </c>
      <c r="P77" s="10" t="s">
        <v>96</v>
      </c>
      <c r="Q77" s="10" t="s">
        <v>781</v>
      </c>
      <c r="R77" s="10" t="s">
        <v>782</v>
      </c>
      <c r="S77" s="11" t="s">
        <v>783</v>
      </c>
      <c r="T77" s="10" t="s">
        <v>784</v>
      </c>
    </row>
    <row r="78" customFormat="false" ht="23.85" hidden="false" customHeight="false" outlineLevel="0" collapsed="false">
      <c r="A78" s="10" t="s">
        <v>785</v>
      </c>
      <c r="B78" s="10" t="s">
        <v>746</v>
      </c>
      <c r="C78" s="10" t="s">
        <v>62</v>
      </c>
      <c r="D78" s="10" t="s">
        <v>63</v>
      </c>
      <c r="E78" s="10"/>
      <c r="F78" s="10" t="s">
        <v>747</v>
      </c>
      <c r="G78" s="10"/>
      <c r="H78" s="10" t="s">
        <v>786</v>
      </c>
      <c r="I78" s="10" t="s">
        <v>787</v>
      </c>
      <c r="J78" s="10" t="s">
        <v>788</v>
      </c>
      <c r="K78" s="10"/>
      <c r="L78" s="10"/>
      <c r="M78" s="10"/>
      <c r="N78" s="10" t="s">
        <v>12</v>
      </c>
      <c r="O78" s="10" t="s">
        <v>789</v>
      </c>
      <c r="P78" s="10" t="s">
        <v>96</v>
      </c>
      <c r="Q78" s="10" t="s">
        <v>790</v>
      </c>
      <c r="R78" s="10" t="s">
        <v>791</v>
      </c>
      <c r="S78" s="11" t="s">
        <v>792</v>
      </c>
      <c r="T78" s="10" t="s">
        <v>793</v>
      </c>
    </row>
    <row r="79" customFormat="false" ht="23.85" hidden="false" customHeight="false" outlineLevel="0" collapsed="false">
      <c r="A79" s="10" t="s">
        <v>794</v>
      </c>
      <c r="B79" s="10" t="s">
        <v>746</v>
      </c>
      <c r="C79" s="10" t="s">
        <v>62</v>
      </c>
      <c r="D79" s="10" t="s">
        <v>63</v>
      </c>
      <c r="E79" s="10"/>
      <c r="F79" s="10" t="s">
        <v>747</v>
      </c>
      <c r="G79" s="10"/>
      <c r="H79" s="10" t="s">
        <v>795</v>
      </c>
      <c r="I79" s="10" t="s">
        <v>796</v>
      </c>
      <c r="J79" s="10" t="s">
        <v>797</v>
      </c>
      <c r="K79" s="10"/>
      <c r="L79" s="10"/>
      <c r="M79" s="10"/>
      <c r="N79" s="10" t="s">
        <v>10</v>
      </c>
      <c r="O79" s="10" t="s">
        <v>798</v>
      </c>
      <c r="P79" s="10" t="s">
        <v>96</v>
      </c>
      <c r="Q79" s="10" t="s">
        <v>658</v>
      </c>
      <c r="R79" s="10" t="s">
        <v>799</v>
      </c>
      <c r="S79" s="11" t="s">
        <v>800</v>
      </c>
      <c r="T79" s="10" t="s">
        <v>801</v>
      </c>
    </row>
    <row r="80" customFormat="false" ht="23.85" hidden="false" customHeight="false" outlineLevel="0" collapsed="false">
      <c r="A80" s="10" t="s">
        <v>802</v>
      </c>
      <c r="B80" s="10" t="s">
        <v>803</v>
      </c>
      <c r="C80" s="10" t="s">
        <v>233</v>
      </c>
      <c r="D80" s="10" t="s">
        <v>234</v>
      </c>
      <c r="E80" s="10"/>
      <c r="F80" s="10" t="s">
        <v>90</v>
      </c>
      <c r="G80" s="10" t="s">
        <v>91</v>
      </c>
      <c r="H80" s="10" t="s">
        <v>804</v>
      </c>
      <c r="I80" s="10" t="s">
        <v>805</v>
      </c>
      <c r="J80" s="10" t="s">
        <v>806</v>
      </c>
      <c r="K80" s="10"/>
      <c r="L80" s="10"/>
      <c r="M80" s="10"/>
      <c r="N80" s="10" t="s">
        <v>12</v>
      </c>
      <c r="O80" s="10" t="s">
        <v>807</v>
      </c>
      <c r="P80" s="10" t="s">
        <v>81</v>
      </c>
      <c r="Q80" s="10" t="s">
        <v>312</v>
      </c>
      <c r="R80" s="10" t="s">
        <v>808</v>
      </c>
      <c r="S80" s="11" t="inlineStr">
        <is>
          <t xml:space="preserve">https://www.health.org.uk/reports-and-analysis/reports/health-in-2040-projected-patterns-of-illness-in-england</t>
        </is>
      </c>
      <c r="T80" s="10"/>
    </row>
    <row r="81" customFormat="false" ht="23.85" hidden="false" customHeight="false" outlineLevel="0" collapsed="false">
      <c r="A81" s="10" t="s">
        <v>810</v>
      </c>
      <c r="B81" s="10" t="s">
        <v>803</v>
      </c>
      <c r="C81" s="10" t="s">
        <v>233</v>
      </c>
      <c r="D81" s="10" t="s">
        <v>234</v>
      </c>
      <c r="E81" s="10"/>
      <c r="F81" s="10" t="s">
        <v>176</v>
      </c>
      <c r="G81" s="10" t="s">
        <v>65</v>
      </c>
      <c r="H81" s="10" t="s">
        <v>811</v>
      </c>
      <c r="I81" s="10" t="s">
        <v>805</v>
      </c>
      <c r="J81" s="10" t="s">
        <v>812</v>
      </c>
      <c r="K81" s="10"/>
      <c r="L81" s="10"/>
      <c r="M81" s="10"/>
      <c r="N81" s="10" t="s">
        <v>12</v>
      </c>
      <c r="O81" s="10" t="s">
        <v>807</v>
      </c>
      <c r="P81" s="10" t="s">
        <v>81</v>
      </c>
      <c r="Q81" s="10" t="s">
        <v>312</v>
      </c>
      <c r="R81" s="10" t="s">
        <v>813</v>
      </c>
      <c r="S81" s="11" t="inlineStr">
        <is>
          <t xml:space="preserve">https://www.health.org.uk/media-office/press-releases/700000-more-workers-are-projected-to-be-living-with-major-illness-by-2040</t>
        </is>
      </c>
      <c r="T81" s="10"/>
    </row>
    <row r="82" customFormat="false" ht="23.85" hidden="false" customHeight="false" outlineLevel="0" collapsed="false">
      <c r="A82" s="10" t="s">
        <v>815</v>
      </c>
      <c r="B82" s="10" t="s">
        <v>803</v>
      </c>
      <c r="C82" s="10" t="s">
        <v>62</v>
      </c>
      <c r="D82" s="10" t="s">
        <v>63</v>
      </c>
      <c r="E82" s="10"/>
      <c r="F82" s="10" t="s">
        <v>90</v>
      </c>
      <c r="G82" s="10" t="s">
        <v>91</v>
      </c>
      <c r="H82" s="10" t="s">
        <v>816</v>
      </c>
      <c r="I82" s="10" t="s">
        <v>817</v>
      </c>
      <c r="J82" s="10" t="s">
        <v>818</v>
      </c>
      <c r="K82" s="10"/>
      <c r="L82" s="10"/>
      <c r="M82" s="10"/>
      <c r="N82" s="10" t="s">
        <v>10</v>
      </c>
      <c r="O82" s="10" t="s">
        <v>819</v>
      </c>
      <c r="P82" s="10" t="s">
        <v>96</v>
      </c>
      <c r="Q82" s="10" t="s">
        <v>269</v>
      </c>
      <c r="R82" s="10" t="s">
        <v>820</v>
      </c>
      <c r="S82" s="11" t="s">
        <v>821</v>
      </c>
      <c r="T82" s="10"/>
    </row>
    <row r="83" customFormat="false" ht="23.85" hidden="false" customHeight="false" outlineLevel="0" collapsed="false">
      <c r="A83" s="10" t="s">
        <v>822</v>
      </c>
      <c r="B83" s="10" t="s">
        <v>803</v>
      </c>
      <c r="C83" s="10" t="s">
        <v>233</v>
      </c>
      <c r="D83" s="10" t="s">
        <v>234</v>
      </c>
      <c r="E83" s="10"/>
      <c r="F83" s="10" t="s">
        <v>176</v>
      </c>
      <c r="G83" s="10" t="s">
        <v>65</v>
      </c>
      <c r="H83" s="10" t="s">
        <v>823</v>
      </c>
      <c r="I83" s="10" t="s">
        <v>824</v>
      </c>
      <c r="J83" s="10" t="s">
        <v>825</v>
      </c>
      <c r="K83" s="10"/>
      <c r="L83" s="10"/>
      <c r="M83" s="10"/>
      <c r="N83" s="10" t="s">
        <v>10</v>
      </c>
      <c r="O83" s="10" t="s">
        <v>826</v>
      </c>
      <c r="P83" s="10" t="s">
        <v>96</v>
      </c>
      <c r="Q83" s="10" t="s">
        <v>247</v>
      </c>
      <c r="R83" s="10" t="s">
        <v>827</v>
      </c>
      <c r="S83" s="11" t="s">
        <v>828</v>
      </c>
      <c r="T83" s="10" t="s">
        <v>829</v>
      </c>
    </row>
    <row r="84" customFormat="false" ht="23.85" hidden="false" customHeight="false" outlineLevel="0" collapsed="false">
      <c r="A84" s="10" t="s">
        <v>830</v>
      </c>
      <c r="B84" s="10" t="s">
        <v>803</v>
      </c>
      <c r="C84" s="10" t="s">
        <v>163</v>
      </c>
      <c r="D84" s="10" t="s">
        <v>164</v>
      </c>
      <c r="E84" s="10" t="s">
        <v>111</v>
      </c>
      <c r="F84" s="10" t="s">
        <v>153</v>
      </c>
      <c r="G84" s="10" t="s">
        <v>91</v>
      </c>
      <c r="H84" s="10" t="s">
        <v>831</v>
      </c>
      <c r="I84" s="10" t="s">
        <v>832</v>
      </c>
      <c r="J84" s="10" t="s">
        <v>833</v>
      </c>
      <c r="K84" s="10"/>
      <c r="L84" s="10"/>
      <c r="M84" s="10"/>
      <c r="N84" s="10" t="s">
        <v>12</v>
      </c>
      <c r="O84" s="10" t="s">
        <v>834</v>
      </c>
      <c r="P84" s="10" t="s">
        <v>81</v>
      </c>
      <c r="Q84" s="10" t="s">
        <v>247</v>
      </c>
      <c r="R84" s="10" t="s">
        <v>835</v>
      </c>
      <c r="S84" s="11" t="s">
        <v>836</v>
      </c>
      <c r="T84" s="10" t="s">
        <v>837</v>
      </c>
    </row>
    <row r="85" customFormat="false" ht="23.85" hidden="false" customHeight="false" outlineLevel="0" collapsed="false">
      <c r="A85" s="10" t="s">
        <v>838</v>
      </c>
      <c r="B85" s="10" t="s">
        <v>803</v>
      </c>
      <c r="C85" s="10" t="s">
        <v>233</v>
      </c>
      <c r="D85" s="10" t="s">
        <v>234</v>
      </c>
      <c r="E85" s="10"/>
      <c r="F85" s="10" t="s">
        <v>176</v>
      </c>
      <c r="G85" s="10" t="s">
        <v>65</v>
      </c>
      <c r="H85" s="10" t="s">
        <v>388</v>
      </c>
      <c r="I85" s="10" t="s">
        <v>839</v>
      </c>
      <c r="J85" s="10" t="s">
        <v>840</v>
      </c>
      <c r="K85" s="10"/>
      <c r="L85" s="10"/>
      <c r="M85" s="10"/>
      <c r="N85" s="10" t="s">
        <v>14</v>
      </c>
      <c r="O85" s="10" t="s">
        <v>841</v>
      </c>
      <c r="P85" s="10" t="s">
        <v>96</v>
      </c>
      <c r="Q85" s="10" t="s">
        <v>193</v>
      </c>
      <c r="R85" s="10" t="s">
        <v>842</v>
      </c>
      <c r="S85" s="11" t="s">
        <v>393</v>
      </c>
      <c r="T85" s="10"/>
    </row>
    <row r="86" customFormat="false" ht="23.85" hidden="false" customHeight="false" outlineLevel="0" collapsed="false">
      <c r="A86" s="10" t="s">
        <v>843</v>
      </c>
      <c r="B86" s="10" t="s">
        <v>803</v>
      </c>
      <c r="C86" s="10" t="s">
        <v>187</v>
      </c>
      <c r="D86" s="10" t="s">
        <v>188</v>
      </c>
      <c r="E86" s="10"/>
      <c r="F86" s="10" t="s">
        <v>76</v>
      </c>
      <c r="G86" s="10" t="s">
        <v>65</v>
      </c>
      <c r="H86" s="10" t="s">
        <v>844</v>
      </c>
      <c r="I86" s="10" t="s">
        <v>845</v>
      </c>
      <c r="J86" s="10" t="s">
        <v>846</v>
      </c>
      <c r="K86" s="10"/>
      <c r="L86" s="10"/>
      <c r="M86" s="10"/>
      <c r="N86" s="10" t="s">
        <v>12</v>
      </c>
      <c r="O86" s="10" t="s">
        <v>847</v>
      </c>
      <c r="P86" s="10" t="s">
        <v>81</v>
      </c>
      <c r="Q86" s="10" t="s">
        <v>848</v>
      </c>
      <c r="R86" s="10" t="s">
        <v>849</v>
      </c>
      <c r="S86" s="11" t="s">
        <v>850</v>
      </c>
      <c r="T86" s="10" t="s">
        <v>851</v>
      </c>
    </row>
    <row r="87" customFormat="false" ht="23.85" hidden="false" customHeight="false" outlineLevel="0" collapsed="false">
      <c r="A87" s="10" t="s">
        <v>852</v>
      </c>
      <c r="B87" s="10" t="s">
        <v>803</v>
      </c>
      <c r="C87" s="10" t="s">
        <v>62</v>
      </c>
      <c r="D87" s="10" t="s">
        <v>63</v>
      </c>
      <c r="E87" s="10"/>
      <c r="F87" s="10" t="s">
        <v>176</v>
      </c>
      <c r="G87" s="10" t="s">
        <v>65</v>
      </c>
      <c r="H87" s="10" t="s">
        <v>853</v>
      </c>
      <c r="I87" s="10" t="s">
        <v>839</v>
      </c>
      <c r="J87" s="10" t="s">
        <v>854</v>
      </c>
      <c r="K87" s="10"/>
      <c r="L87" s="10"/>
      <c r="M87" s="10"/>
      <c r="N87" s="10" t="s">
        <v>14</v>
      </c>
      <c r="O87" s="10" t="s">
        <v>95</v>
      </c>
      <c r="P87" s="10" t="s">
        <v>96</v>
      </c>
      <c r="Q87" s="10" t="s">
        <v>312</v>
      </c>
      <c r="R87" s="10" t="s">
        <v>855</v>
      </c>
      <c r="S87" s="11" t="s">
        <v>856</v>
      </c>
      <c r="T87" s="10"/>
    </row>
    <row r="88" customFormat="false" ht="23.85" hidden="false" customHeight="false" outlineLevel="0" collapsed="false">
      <c r="A88" s="10" t="s">
        <v>857</v>
      </c>
      <c r="B88" s="10" t="s">
        <v>803</v>
      </c>
      <c r="C88" s="10" t="s">
        <v>62</v>
      </c>
      <c r="D88" s="10" t="s">
        <v>63</v>
      </c>
      <c r="E88" s="10"/>
      <c r="F88" s="10" t="s">
        <v>64</v>
      </c>
      <c r="G88" s="10" t="s">
        <v>134</v>
      </c>
      <c r="H88" s="10" t="s">
        <v>858</v>
      </c>
      <c r="I88" s="10" t="s">
        <v>859</v>
      </c>
      <c r="J88" s="10" t="s">
        <v>860</v>
      </c>
      <c r="K88" s="10"/>
      <c r="L88" s="10"/>
      <c r="M88" s="10"/>
      <c r="N88" s="10" t="s">
        <v>14</v>
      </c>
      <c r="O88" s="10" t="s">
        <v>147</v>
      </c>
      <c r="P88" s="10" t="s">
        <v>861</v>
      </c>
      <c r="Q88" s="10" t="s">
        <v>139</v>
      </c>
      <c r="R88" s="10" t="s">
        <v>862</v>
      </c>
      <c r="S88" s="11" t="s">
        <v>863</v>
      </c>
      <c r="T88" s="10" t="s">
        <v>864</v>
      </c>
    </row>
  </sheetData>
  <autoFilter ref="A1:T88"/>
  <hyperlinks>
    <hyperlink ref="S2" r:id="rId1" display="https://foundations.org.uk/our-work/publications/the-cost-of-late-intervention-eif-analysis-2016/"/>
    <hyperlink ref="S3" r:id="rId2" display="https://learning.nspcc.org.uk/research-resources/childrens-services-spending-reports"/>
    <hyperlink ref="S4" r:id="rId3" display="https://www.centreformentalhealth.org.uk/wp-content/uploads/2018/09/costsofperinatalsummary.pdf"/>
    <hyperlink ref="S5" r:id="rId4" display="https://doi.org/10.1111/add.14183"/>
    <hyperlink ref="S6" r:id="rId5" display="https://doi.org/10.1111/acer.14705"/>
    <hyperlink ref="S7" r:id="rId6" display="http://wrap.warwick.ac.uk/37026/"/>
    <hyperlink ref="S8" r:id="rId7" display="https://pubmed.ncbi.nlm.nih.gov/40168916/"/>
    <hyperlink ref="S9" r:id="rId8" display="https://doi.org/10.1016/S2468-2667(21)00232-2"/>
    <hyperlink ref="S10" r:id="rId9" display="https://doi.org/10.1111/jcpp.12573"/>
    <hyperlink ref="S11" r:id="rId10" display="https://pubmed.ncbi.nlm.nih.gov/11473907/"/>
    <hyperlink ref="S12" r:id="rId11" display="https://doi.org/10.1016/j.socscimed.2018.05.014"/>
    <hyperlink ref="S13" r:id="rId12" display="https://www.ippr.org/media-office/revealed-school-exclusions-and-suspensions-rise-by-a-fifth-last-year-finds-new-report"/>
    <hyperlink ref="S14" r:id="rId13" display="https://www.england.nhs.uk/long-read/report-of-the-independent-adhd-taskforce-part-1/"/>
    <hyperlink ref="S15" r:id="rId14" display="https://doi.org/10.1001/jamapediatrics.2014.210"/>
    <hyperlink ref="S16" r:id="rId15" display="https://www.centreformentalhealth.org.uk/publications/traumatic-brain-injury-and-offending/"/>
    <hyperlink ref="S17" r:id="rId16" display="https://doi.org/10.1097/HTR.0000000000000129"/>
    <hyperlink ref="S18" r:id="rId17" display="https://doi.org/10.3109/02699052.2010.495697"/>
    <hyperlink ref="S19" r:id="rId18" display="https://ukabif.org.uk/news/701354/Hidden-toll-of-brain-injury-costs-economy-43-billion-a-year-.htm"/>
    <hyperlink ref="S20" r:id="rId19" display="https://www.nao.org.uk/wp-content/uploads/2025/09/Managing-childrens-residential-care.pdf"/>
    <hyperlink ref="S21" r:id="rId20" display="https://www.gov.uk/government/publications/young-people-and-work-interim-report/young-people-and-work-interim-report"/>
    <hyperlink ref="S22" r:id="rId21" display="https://www.centreformentalhealth.org.uk/publications/the-economic-and-social-costs-of-mental-ill-health/"/>
    <hyperlink ref="S23" r:id="rId22" display="https://www.ias.org.uk/factsheet/economy/"/>
    <hyperlink ref="S24" r:id="rId23" display="https://assets.publishing.service.gov.uk/media/60eef5588fa8f50c768386fd/independent-review-of-drugs-part-2-annexes.pdf"/>
    <hyperlink ref="S25" r:id="rId24" display="https://ash.org.uk/key-topics/the-economic-impact-of-smoking"/>
    <hyperlink ref="S26" r:id="rId25" display="https://www.frontier-economics.com/uk/en/news-and-insights/news/news-article-i20358-the-rising-cost-of-obesity-in-the-uk/"/>
    <hyperlink ref="S27" r:id="rId26" display="https://cpag.org.uk/news/official-child-poverty-statistics-350000-more-children-poverty-and-numbers-will-rise"/>
    <hyperlink ref="S28" r:id="rId27" display="https://commonslibrary.parliament.uk/research-briefings/cbp-10421/"/>
    <hyperlink ref="S29" r:id="rId28" display="https://osr.statisticsauthority.gov.uk/correspondence/reporting-the-costs-of-domestic-abuse"/>
    <hyperlink ref="S30" r:id="rId29" display="https://www.gov.uk/government/publications/economic-and-social-costs-of-crime-2019-to-2020/economic-and-social-costs-of-crime-2019-to-2020"/>
    <hyperlink ref="S31" r:id="rId30" display="https://assets.publishing.service.gov.uk/media/5d1de7a4e5274a08d13a684e/economic-social-costs-reoffending.pdf"/>
    <hyperlink ref="S32" r:id="rId31" display="https://assets.publishing.service.gov.uk/media/69bbeea2f7b1c24d8e23ce44/costs-per-place-costs-per-prisoner-2024-2025-summary.pdf"/>
    <hyperlink ref="S33" r:id="rId32" display="https://www.gov.uk/government/publications/updated-estimates-of-children-with-a-parent-in-prison/transparency-data-updated-estimates-of-children-with-a-parent-in-prison"/>
    <hyperlink ref="S34" r:id="rId33" display="https://www.nuffieldfjo.org.uk/resource/mothers-in-recurrent-care-proceedings-new-evidence-for-england-and-wales"/>
    <hyperlink ref="S35" r:id="rId34" display="https://cls.ucl.ac.uk/wp-content/uploads/2017/02/Children-of-care-leavers-policy-briefing.pdf"/>
    <hyperlink ref="S36" r:id="rId35" display="https://ippr-org.files.svdcdn.com/production/Downloads/Our_greatest_asset_Sept24.pdf"/>
    <hyperlink ref="S37" r:id="rId36" display="https://wrap.warwick.ac.uk/id/eprint/154072/"/>
    <hyperlink ref="S38" r:id="rId37" display="https://doi.org/10.1017/S0033291718001940"/>
    <hyperlink ref="S39" r:id="rId38" display="https://doi.org/10.1016/S2215-0366(25)00039-2"/>
    <hyperlink ref="S40" r:id="rId39" display="https://doi.org/10.1111/add.13160"/>
    <hyperlink ref="S41" r:id="rId40" display="https://doi.org/10.1111/add.16176"/>
    <hyperlink ref="S42" r:id="rId41" display="https://doi.org/10.1111/jep.12799"/>
    <hyperlink ref="S43" r:id="rId42" display="https://doi.org/10.1136/bmj.39126.699421.55"/>
    <hyperlink ref="S44" r:id="rId43" display="https://link.springer.com/article/10.1186/1471-2458-11-803"/>
    <hyperlink ref="S45" r:id="rId44" display="https://ifs.org.uk/news/sure-starts-wide-ranging-and-long-lasting-benefits-highlight-impact-integrated-early-years"/>
    <hyperlink ref="S46" r:id="rId45" display="https://link.springer.com/article/10.1186/s12888-015-0700-x"/>
    <hyperlink ref="S47" r:id="rId46" display="https://www.lse.ac.uk/business/consulting/assets/documents/commissioning-cost-effective-services-for-promotion-of-mental-health-and-wellbeing-and-prevention-of-mental-ill-health.pdf"/>
    <hyperlink ref="S48" r:id="rId47" display="https://www.lse.ac.uk/business/consulting/assets/documents/commissioning-cost-effective-services-for-promotion-of-mental-health-and-wellbeing-and-prevention-of-mental-ill-health.pdf"/>
    <hyperlink ref="S49" r:id="rId48" display="https://youthendowmentfund.org.uk/toolkit/social-skills-training/"/>
    <hyperlink ref="S50" r:id="rId49" display="https://youthendowmentfund.org.uk/toolkit/cognitive-behavioural-therapy/"/>
    <hyperlink ref="S51" r:id="rId50" display="https://youthendowmentfund.org.uk/toolkit/mentoring/"/>
    <hyperlink ref="S52" r:id="rId51" display="https://youthendowmentfund.org.uk/toolkit/focused-deterrence/"/>
    <hyperlink ref="S53" r:id="rId52" display="https://youthendowmentfund.org.uk/toolkit/trauma-specific-therapies/"/>
    <hyperlink ref="S54" r:id="rId53" display="https://youthendowmentfund.org.uk/toolkit/formal-pre-court-diversion/"/>
    <hyperlink ref="S55" r:id="rId54" display="https://pmc.ncbi.nlm.nih.gov/articles/PMC6697182/"/>
    <hyperlink ref="S56" r:id="rId55" display="https://doi.org/10.1111/jcpp.12743"/>
    <hyperlink ref="S57" r:id="rId56" display="https://www.gov.uk/government/publications/violence-reduction-units-year-ending-march-2023-evaluation-report/violence-reduction-units-2022-to-2023"/>
    <hyperlink ref="S58" r:id="rId57" display="https://doi.org/10.1056/NEJMoa1203241"/>
    <hyperlink ref="S59" r:id="rId58" display="https://committees.parliament.uk/writtenevidence/72380/html/"/>
    <hyperlink ref="S60" r:id="rId59" display="https://www.ukyouth.org/wp-content/uploads/2022/11/Economic-Value-of-Youth-Work-Full-Report.pdf"/>
    <hyperlink ref="S61" r:id="rId60" display="https://doi.org/10.1111/eip.12149"/>
    <hyperlink ref="S62" r:id="rId61" display="https://doi.org/10.1192/bjp.bp.111.107888"/>
    <hyperlink ref="S63" r:id="rId62" display="https://www.rand.org/pubs/research_briefs/RBA1271-1.html"/>
    <hyperlink ref="S64" r:id="rId63" display="https://www.gov.uk/government/publications/alcohol-and-drug-prevention-treatment-and-recovery-why-invest/alcohol-and-drug-prevention-treatment-and-recovery-why-invest"/>
    <hyperlink ref="S65" r:id="rId64" display="http://safelives.org.uk/research-policy-library/saving-lives-saving-money-report/"/>
    <hyperlink ref="S66" r:id="rId65" display="https://safelives.org.uk/about-domestic-abuse/responding-to-perpetrators/"/>
    <hyperlink ref="S67" r:id="rId66" display="https://assets.publishing.service.gov.uk/media/671a6fea603993b7a8f75db5/Housing_First_Cost_Benefit_Analysis_Report.pdf"/>
    <hyperlink ref="S68" r:id="rId67" display="https://www.centreformentalhealth.org.uk/wp-content/uploads/2018/09/priorities.pdf"/>
    <hyperlink ref="S69" r:id="rId68" display="https://assets.publishing.service.gov.uk/media/5fa2d5e2d3bf7f03b3ee4925/Pause_-_Sussex.pdf"/>
    <hyperlink ref="S70" r:id="rId69" display="https://pmc.ncbi.nlm.nih.gov/articles/PMC10154457/"/>
    <hyperlink ref="S71" r:id="rId70" display="https://pubmed.ncbi.nlm.nih.gov/28356325/"/>
    <hyperlink ref="S72" r:id="rId71" display="https://www.health.org.uk/reports-and-analysis/analysis/investing-in-the-public-health-grant"/>
    <hyperlink ref="S73" r:id="rId72" display="https://www.ohe.org/wp-content/uploads/2020/08/The_Green_Book.pdf"/>
    <hyperlink ref="S74" r:id="rId73" display="https://assets.publishing.service.gov.uk/media/60fa9169d3bf7f0448719daf/Wellbeing_guidance_for_appraisal_-_supplementary_Green_Book_guidance.pdf"/>
    <hyperlink ref="S75" r:id="rId74" display="https://www.nice.org.uk/news/articles/changes-to-nice-s-cost-effectiveness-thresholds-confirmed"/>
    <hyperlink ref="S76" r:id="rId75" display="https://assets.publishing.service.gov.uk/media/698488ab2df808759a7bd70f/Green_Book_supplementary_guidance_-_discounting.pdf"/>
    <hyperlink ref="S77" r:id="rId76" display="https://assets.publishing.service.gov.uk/media/6a43915e7ac6fd9c6a94abbe/Findings_and_Recommendations_-_Green_Book_Discount_Rate_Review.pdf"/>
    <hyperlink ref="S78" r:id="rId77" display="https://pmc.ncbi.nlm.nih.gov/articles/PMC13223565"/>
    <hyperlink ref="S79" r:id="rId78" display="https://assets.publishing.service.gov.uk/government/uploads/system/uploads/attachment_data/file/753688/Prevention_is_better_than_cure_5-11.pdf"/>
    <hyperlink ref="S80" r:id="rId79" display="https://www.health.org.uk/reports-and-analysis/reports/health-in-2040-projected-patterns-of-illness-in-england"/>
    <hyperlink ref="S81" r:id="rId80" display="https://www.health.org.uk/media-office/press-releases/700000-more-workers-are-projected-to-be-living-with-major-illness-by-2040"/>
    <hyperlink ref="S82" r:id="rId81" display="https://assets.publishing.service.gov.uk/media/6a4cb4c74889d85e75ab40e0/E03599617_OBR_FRS_2026_Accessible.pdf"/>
    <hyperlink ref="S83" r:id="rId82" display="https://obr.uk/frs/fiscal-risks-and-sustainability-july-2025/"/>
    <hyperlink ref="S84" r:id="rId83" display="https://ifs.org.uk/publications/schools-and-colleges-2025-spending-review"/>
    <hyperlink ref="S85" r:id="rId84" display="https://ippr-org.files.svdcdn.com/production/Downloads/Our_greatest_asset_Sept24.pdf"/>
    <hyperlink ref="S86" r:id="rId85" display="https://youthendowmentfund.org.uk/reports/beyond-the-headlines-2026/"/>
    <hyperlink ref="S87" r:id="rId86" display="https://cpag.org.uk/news/cost-child-poverty-2023"/>
    <hyperlink ref="S88" r:id="rId87" display="https://www.thelancet.com/journals/lanpub/article/PIIS2468-2667(19)30145-8/fulltex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88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70"/>
  </cols>
  <sheetData>
    <row r="1" customFormat="false" ht="19.7" hidden="false" customHeight="false" outlineLevel="0" collapsed="false">
      <c r="A1" s="1" t="s">
        <v>865</v>
      </c>
    </row>
    <row r="3" customFormat="false" ht="15" hidden="false" customHeight="false" outlineLevel="0" collapsed="false">
      <c r="A3" s="12" t="s">
        <v>866</v>
      </c>
      <c r="B3" s="12" t="s">
        <v>49</v>
      </c>
      <c r="C3" s="12" t="s">
        <v>867</v>
      </c>
      <c r="D3" s="12" t="s">
        <v>57</v>
      </c>
    </row>
    <row r="4" customFormat="false" ht="15" hidden="false" customHeight="false" outlineLevel="0" collapsed="false">
      <c r="A4" s="2" t="s">
        <v>868</v>
      </c>
      <c r="B4" s="13" t="n">
        <v>70000</v>
      </c>
      <c r="C4" s="2" t="s">
        <v>869</v>
      </c>
      <c r="D4" s="2" t="s">
        <v>870</v>
      </c>
    </row>
    <row r="5" customFormat="false" ht="15" hidden="false" customHeight="false" outlineLevel="0" collapsed="false">
      <c r="A5" s="2" t="s">
        <v>871</v>
      </c>
      <c r="B5" s="13" t="n">
        <v>13000</v>
      </c>
      <c r="C5" s="2" t="s">
        <v>872</v>
      </c>
      <c r="D5" s="2" t="s">
        <v>873</v>
      </c>
    </row>
    <row r="6" customFormat="false" ht="15" hidden="false" customHeight="false" outlineLevel="0" collapsed="false">
      <c r="A6" s="2" t="s">
        <v>874</v>
      </c>
      <c r="B6" s="13" t="n">
        <v>25000</v>
      </c>
      <c r="C6" s="2" t="s">
        <v>749</v>
      </c>
      <c r="D6" s="2" t="s">
        <v>875</v>
      </c>
    </row>
    <row r="7" customFormat="false" ht="15" hidden="false" customHeight="false" outlineLevel="0" collapsed="false">
      <c r="A7" s="2" t="s">
        <v>876</v>
      </c>
      <c r="B7" s="13" t="n">
        <v>35000</v>
      </c>
      <c r="C7" s="2" t="s">
        <v>749</v>
      </c>
      <c r="D7" s="2" t="s">
        <v>875</v>
      </c>
    </row>
    <row r="8" customFormat="false" ht="15" hidden="false" customHeight="false" outlineLevel="0" collapsed="false">
      <c r="A8" s="2" t="s">
        <v>877</v>
      </c>
      <c r="B8" s="14" t="n">
        <v>0.035</v>
      </c>
      <c r="C8" s="2" t="s">
        <v>878</v>
      </c>
      <c r="D8" s="2" t="s">
        <v>879</v>
      </c>
    </row>
    <row r="9" customFormat="false" ht="15" hidden="false" customHeight="false" outlineLevel="0" collapsed="false">
      <c r="A9" s="2" t="s">
        <v>880</v>
      </c>
      <c r="B9" s="14" t="n">
        <v>0.015</v>
      </c>
      <c r="C9" s="2" t="s">
        <v>878</v>
      </c>
      <c r="D9" s="2" t="s">
        <v>879</v>
      </c>
    </row>
    <row r="10" customFormat="false" ht="15" hidden="false" customHeight="false" outlineLevel="0" collapsed="false">
      <c r="A10" s="2" t="s">
        <v>881</v>
      </c>
      <c r="B10" s="13" t="n">
        <v>1858700</v>
      </c>
      <c r="C10" s="2" t="s">
        <v>787</v>
      </c>
      <c r="D10" s="2" t="s">
        <v>882</v>
      </c>
    </row>
    <row r="11" customFormat="false" ht="15" hidden="false" customHeight="false" outlineLevel="0" collapsed="false">
      <c r="A11" s="2" t="s">
        <v>883</v>
      </c>
      <c r="B11" s="13" t="n">
        <v>42300</v>
      </c>
      <c r="C11" s="2" t="s">
        <v>884</v>
      </c>
      <c r="D11" s="2" t="s">
        <v>882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11"/>
    <col collapsed="false" customWidth="true" hidden="false" outlineLevel="0" max="6" min="4" style="0" width="14"/>
    <col collapsed="false" customWidth="true" hidden="false" outlineLevel="0" max="7" min="7" style="0" width="22"/>
    <col collapsed="false" customWidth="true" hidden="false" outlineLevel="0" max="8" min="8" style="0" width="26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5" min="11" style="0" width="16"/>
  </cols>
  <sheetData>
    <row r="1" customFormat="false" ht="19.7" hidden="false" customHeight="false" outlineLevel="0" collapsed="false">
      <c r="A1" s="1" t="s">
        <v>885</v>
      </c>
    </row>
    <row r="2" customFormat="false" ht="15" hidden="false" customHeight="false" outlineLevel="0" collapsed="false">
      <c r="A2" s="2" t="s">
        <v>886</v>
      </c>
    </row>
    <row r="4" customFormat="false" ht="42" hidden="false" customHeight="true" outlineLevel="0" collapsed="false">
      <c r="A4" s="9" t="s">
        <v>40</v>
      </c>
      <c r="B4" s="9" t="s">
        <v>404</v>
      </c>
      <c r="C4" s="9" t="s">
        <v>887</v>
      </c>
      <c r="D4" s="9" t="s">
        <v>888</v>
      </c>
      <c r="E4" s="9" t="s">
        <v>889</v>
      </c>
      <c r="F4" s="9" t="s">
        <v>890</v>
      </c>
      <c r="G4" s="9" t="s">
        <v>891</v>
      </c>
      <c r="H4" s="9" t="s">
        <v>892</v>
      </c>
      <c r="I4" s="9" t="s">
        <v>56</v>
      </c>
      <c r="J4" s="9" t="s">
        <v>893</v>
      </c>
      <c r="K4" s="9" t="s">
        <v>894</v>
      </c>
      <c r="L4" s="9" t="s">
        <v>895</v>
      </c>
      <c r="M4" s="9" t="s">
        <v>896</v>
      </c>
      <c r="N4" s="9" t="s">
        <v>897</v>
      </c>
      <c r="O4" s="9" t="s">
        <v>898</v>
      </c>
    </row>
    <row r="5" customFormat="false" ht="15" hidden="false" customHeight="false" outlineLevel="0" collapsed="false">
      <c r="A5" s="2" t="s">
        <v>469</v>
      </c>
      <c r="B5" s="2" t="s">
        <v>899</v>
      </c>
      <c r="C5" s="2" t="s">
        <v>900</v>
      </c>
      <c r="D5" s="15" t="n">
        <v>1177</v>
      </c>
      <c r="E5" s="16" t="n">
        <v>2.8</v>
      </c>
      <c r="F5" s="16" t="n">
        <v>6.1</v>
      </c>
      <c r="G5" s="2" t="s">
        <v>901</v>
      </c>
      <c r="H5" s="2" t="s">
        <v>902</v>
      </c>
      <c r="I5" s="2" t="s">
        <v>475</v>
      </c>
      <c r="J5" s="17" t="n">
        <v>100</v>
      </c>
      <c r="K5" s="18" t="n">
        <f aca="false">IF(C5="Per unit",D5*J5,J5)</f>
        <v>117700</v>
      </c>
      <c r="L5" s="18" t="n">
        <f aca="false">K5*E5</f>
        <v>329560</v>
      </c>
      <c r="M5" s="18" t="n">
        <f aca="false">K5*F5</f>
        <v>717970</v>
      </c>
      <c r="N5" s="19" t="n">
        <f aca="false">L5-K5</f>
        <v>211860</v>
      </c>
      <c r="O5" s="19" t="n">
        <f aca="false">M5-K5</f>
        <v>600270</v>
      </c>
    </row>
    <row r="6" customFormat="false" ht="15" hidden="false" customHeight="false" outlineLevel="0" collapsed="false">
      <c r="A6" s="2" t="s">
        <v>479</v>
      </c>
      <c r="B6" s="2" t="s">
        <v>903</v>
      </c>
      <c r="C6" s="2" t="s">
        <v>904</v>
      </c>
      <c r="D6" s="2"/>
      <c r="E6" s="16" t="n">
        <v>2.05</v>
      </c>
      <c r="F6" s="16" t="n">
        <v>2.05</v>
      </c>
      <c r="G6" s="2" t="s">
        <v>905</v>
      </c>
      <c r="H6" s="2" t="s">
        <v>906</v>
      </c>
      <c r="I6" s="2" t="s">
        <v>256</v>
      </c>
      <c r="J6" s="17" t="n">
        <v>1000000</v>
      </c>
      <c r="K6" s="18" t="n">
        <f aca="false">IF(C6="Per unit",D6*J6,J6)</f>
        <v>1000000</v>
      </c>
      <c r="L6" s="18" t="n">
        <f aca="false">K6*E6</f>
        <v>2050000</v>
      </c>
      <c r="M6" s="18" t="n">
        <f aca="false">K6*F6</f>
        <v>2050000</v>
      </c>
      <c r="N6" s="19" t="n">
        <f aca="false">L6-K6</f>
        <v>1050000</v>
      </c>
      <c r="O6" s="19" t="n">
        <f aca="false">M6-K6</f>
        <v>1050000</v>
      </c>
    </row>
    <row r="7" customFormat="false" ht="15" hidden="false" customHeight="false" outlineLevel="0" collapsed="false">
      <c r="A7" s="2" t="s">
        <v>499</v>
      </c>
      <c r="B7" s="2" t="s">
        <v>907</v>
      </c>
      <c r="C7" s="2" t="s">
        <v>904</v>
      </c>
      <c r="D7" s="2"/>
      <c r="E7" s="16" t="n">
        <v>5.05</v>
      </c>
      <c r="F7" s="16" t="n">
        <v>5.05</v>
      </c>
      <c r="G7" s="2" t="s">
        <v>908</v>
      </c>
      <c r="H7" s="2" t="s">
        <v>909</v>
      </c>
      <c r="I7" s="2" t="s">
        <v>106</v>
      </c>
      <c r="J7" s="17" t="n">
        <v>1000000</v>
      </c>
      <c r="K7" s="18" t="n">
        <f aca="false">IF(C7="Per unit",D7*J7,J7)</f>
        <v>1000000</v>
      </c>
      <c r="L7" s="18" t="n">
        <f aca="false">K7*E7</f>
        <v>5050000</v>
      </c>
      <c r="M7" s="18" t="n">
        <f aca="false">K7*F7</f>
        <v>5050000</v>
      </c>
      <c r="N7" s="19" t="n">
        <f aca="false">L7-K7</f>
        <v>4050000</v>
      </c>
      <c r="O7" s="19" t="n">
        <f aca="false">M7-K7</f>
        <v>4050000</v>
      </c>
    </row>
    <row r="8" customFormat="false" ht="15" hidden="false" customHeight="false" outlineLevel="0" collapsed="false">
      <c r="A8" s="2" t="s">
        <v>508</v>
      </c>
      <c r="B8" s="2" t="s">
        <v>910</v>
      </c>
      <c r="C8" s="2" t="s">
        <v>904</v>
      </c>
      <c r="D8" s="2"/>
      <c r="E8" s="16" t="n">
        <v>1.58</v>
      </c>
      <c r="F8" s="16" t="n">
        <v>5.58</v>
      </c>
      <c r="G8" s="2" t="s">
        <v>911</v>
      </c>
      <c r="H8" s="2" t="s">
        <v>909</v>
      </c>
      <c r="I8" s="2" t="s">
        <v>106</v>
      </c>
      <c r="J8" s="17" t="n">
        <v>1000000</v>
      </c>
      <c r="K8" s="18" t="n">
        <f aca="false">IF(C8="Per unit",D8*J8,J8)</f>
        <v>1000000</v>
      </c>
      <c r="L8" s="18" t="n">
        <f aca="false">K8*E8</f>
        <v>1580000</v>
      </c>
      <c r="M8" s="18" t="n">
        <f aca="false">K8*F8</f>
        <v>5580000</v>
      </c>
      <c r="N8" s="19" t="n">
        <f aca="false">L8-K8</f>
        <v>580000</v>
      </c>
      <c r="O8" s="19" t="n">
        <f aca="false">M8-K8</f>
        <v>4580000</v>
      </c>
    </row>
    <row r="9" customFormat="false" ht="15" hidden="false" customHeight="false" outlineLevel="0" collapsed="false">
      <c r="A9" s="2" t="s">
        <v>615</v>
      </c>
      <c r="B9" s="2" t="s">
        <v>616</v>
      </c>
      <c r="C9" s="2" t="s">
        <v>904</v>
      </c>
      <c r="D9" s="2"/>
      <c r="E9" s="16" t="n">
        <v>3.2</v>
      </c>
      <c r="F9" s="16" t="n">
        <v>6.4</v>
      </c>
      <c r="G9" s="2" t="s">
        <v>912</v>
      </c>
      <c r="H9" s="2" t="s">
        <v>909</v>
      </c>
      <c r="I9" s="2" t="s">
        <v>279</v>
      </c>
      <c r="J9" s="17" t="n">
        <v>1000000</v>
      </c>
      <c r="K9" s="18" t="n">
        <f aca="false">IF(C9="Per unit",D9*J9,J9)</f>
        <v>1000000</v>
      </c>
      <c r="L9" s="18" t="n">
        <f aca="false">K9*E9</f>
        <v>3200000</v>
      </c>
      <c r="M9" s="18" t="n">
        <f aca="false">K9*F9</f>
        <v>6400000</v>
      </c>
      <c r="N9" s="19" t="n">
        <f aca="false">L9-K9</f>
        <v>2200000</v>
      </c>
      <c r="O9" s="19" t="n">
        <f aca="false">M9-K9</f>
        <v>5400000</v>
      </c>
    </row>
    <row r="10" customFormat="false" ht="15" hidden="false" customHeight="false" outlineLevel="0" collapsed="false">
      <c r="A10" s="2" t="s">
        <v>643</v>
      </c>
      <c r="B10" s="2" t="s">
        <v>913</v>
      </c>
      <c r="C10" s="2" t="s">
        <v>900</v>
      </c>
      <c r="D10" s="15" t="n">
        <v>659</v>
      </c>
      <c r="E10" s="16" t="n">
        <v>1.4158</v>
      </c>
      <c r="F10" s="16" t="n">
        <v>1.4158</v>
      </c>
      <c r="G10" s="2" t="s">
        <v>914</v>
      </c>
      <c r="H10" s="2" t="s">
        <v>915</v>
      </c>
      <c r="I10" s="2" t="s">
        <v>202</v>
      </c>
      <c r="J10" s="17" t="n">
        <v>100</v>
      </c>
      <c r="K10" s="18" t="n">
        <f aca="false">IF(C10="Per unit",D10*J10,J10)</f>
        <v>65900</v>
      </c>
      <c r="L10" s="18" t="n">
        <f aca="false">K10*E10</f>
        <v>93301.22</v>
      </c>
      <c r="M10" s="18" t="n">
        <f aca="false">K10*F10</f>
        <v>93301.22</v>
      </c>
      <c r="N10" s="19" t="n">
        <f aca="false">L10-K10</f>
        <v>27401.22</v>
      </c>
      <c r="O10" s="19" t="n">
        <f aca="false">M10-K10</f>
        <v>27401.22</v>
      </c>
    </row>
    <row r="11" customFormat="false" ht="15" hidden="false" customHeight="false" outlineLevel="0" collapsed="false">
      <c r="A11" s="2" t="s">
        <v>653</v>
      </c>
      <c r="B11" s="2" t="s">
        <v>654</v>
      </c>
      <c r="C11" s="2" t="s">
        <v>904</v>
      </c>
      <c r="D11" s="2"/>
      <c r="E11" s="16" t="n">
        <v>4</v>
      </c>
      <c r="F11" s="16" t="n">
        <v>21</v>
      </c>
      <c r="G11" s="2" t="s">
        <v>916</v>
      </c>
      <c r="H11" s="2" t="s">
        <v>917</v>
      </c>
      <c r="I11" s="2" t="s">
        <v>658</v>
      </c>
      <c r="J11" s="17" t="n">
        <v>1000000</v>
      </c>
      <c r="K11" s="18" t="n">
        <f aca="false">IF(C11="Per unit",D11*J11,J11)</f>
        <v>1000000</v>
      </c>
      <c r="L11" s="18" t="n">
        <f aca="false">K11*E11</f>
        <v>4000000</v>
      </c>
      <c r="M11" s="18" t="n">
        <f aca="false">K11*F11</f>
        <v>21000000</v>
      </c>
      <c r="N11" s="19" t="n">
        <f aca="false">L11-K11</f>
        <v>3000000</v>
      </c>
      <c r="O11" s="19" t="n">
        <f aca="false">M11-K11</f>
        <v>20000000</v>
      </c>
    </row>
    <row r="12" customFormat="false" ht="15" hidden="false" customHeight="false" outlineLevel="0" collapsed="false">
      <c r="A12" s="2" t="s">
        <v>662</v>
      </c>
      <c r="B12" s="2" t="s">
        <v>918</v>
      </c>
      <c r="C12" s="2" t="s">
        <v>904</v>
      </c>
      <c r="D12" s="2"/>
      <c r="E12" s="16" t="n">
        <v>6</v>
      </c>
      <c r="F12" s="16" t="n">
        <v>6</v>
      </c>
      <c r="G12" s="2" t="s">
        <v>919</v>
      </c>
      <c r="H12" s="2" t="s">
        <v>902</v>
      </c>
      <c r="I12" s="2" t="s">
        <v>667</v>
      </c>
      <c r="J12" s="17" t="n">
        <v>1000000</v>
      </c>
      <c r="K12" s="18" t="n">
        <f aca="false">IF(C12="Per unit",D12*J12,J12)</f>
        <v>1000000</v>
      </c>
      <c r="L12" s="18" t="n">
        <f aca="false">K12*E12</f>
        <v>6000000</v>
      </c>
      <c r="M12" s="18" t="n">
        <f aca="false">K12*F12</f>
        <v>6000000</v>
      </c>
      <c r="N12" s="19" t="n">
        <f aca="false">L12-K12</f>
        <v>5000000</v>
      </c>
      <c r="O12" s="19" t="n">
        <f aca="false">M12-K12</f>
        <v>5000000</v>
      </c>
    </row>
    <row r="13" customFormat="false" ht="15" hidden="false" customHeight="false" outlineLevel="0" collapsed="false">
      <c r="A13" s="2" t="s">
        <v>682</v>
      </c>
      <c r="B13" s="2" t="s">
        <v>683</v>
      </c>
      <c r="C13" s="2" t="s">
        <v>900</v>
      </c>
      <c r="D13" s="15" t="n">
        <v>10915</v>
      </c>
      <c r="E13" s="16" t="n">
        <v>1.1</v>
      </c>
      <c r="F13" s="16" t="n">
        <v>2.1</v>
      </c>
      <c r="G13" s="2" t="s">
        <v>920</v>
      </c>
      <c r="H13" s="2" t="s">
        <v>921</v>
      </c>
      <c r="I13" s="2" t="s">
        <v>279</v>
      </c>
      <c r="J13" s="17" t="n">
        <v>100</v>
      </c>
      <c r="K13" s="18" t="n">
        <f aca="false">IF(C13="Per unit",D13*J13,J13)</f>
        <v>1091500</v>
      </c>
      <c r="L13" s="18" t="n">
        <f aca="false">K13*E13</f>
        <v>1200650</v>
      </c>
      <c r="M13" s="18" t="n">
        <f aca="false">K13*F13</f>
        <v>2292150</v>
      </c>
      <c r="N13" s="19" t="n">
        <f aca="false">L13-K13</f>
        <v>109150</v>
      </c>
      <c r="O13" s="19" t="n">
        <f aca="false">M13-K13</f>
        <v>1200650</v>
      </c>
    </row>
    <row r="14" customFormat="false" ht="15" hidden="false" customHeight="false" outlineLevel="0" collapsed="false">
      <c r="A14" s="2" t="s">
        <v>702</v>
      </c>
      <c r="B14" s="2" t="s">
        <v>922</v>
      </c>
      <c r="C14" s="2" t="s">
        <v>904</v>
      </c>
      <c r="D14" s="2"/>
      <c r="E14" s="16" t="n">
        <v>4.5</v>
      </c>
      <c r="F14" s="16" t="n">
        <v>7.61</v>
      </c>
      <c r="G14" s="2" t="s">
        <v>923</v>
      </c>
      <c r="H14" s="2" t="s">
        <v>924</v>
      </c>
      <c r="I14" s="2" t="s">
        <v>202</v>
      </c>
      <c r="J14" s="17" t="n">
        <v>1000000</v>
      </c>
      <c r="K14" s="18" t="n">
        <f aca="false">IF(C14="Per unit",D14*J14,J14)</f>
        <v>1000000</v>
      </c>
      <c r="L14" s="18" t="n">
        <f aca="false">K14*E14</f>
        <v>4500000</v>
      </c>
      <c r="M14" s="18" t="n">
        <f aca="false">K14*F14</f>
        <v>7610000</v>
      </c>
      <c r="N14" s="19" t="n">
        <f aca="false">L14-K14</f>
        <v>3500000</v>
      </c>
      <c r="O14" s="19" t="n">
        <f aca="false">M14-K14</f>
        <v>6610000</v>
      </c>
    </row>
    <row r="15" customFormat="false" ht="15" hidden="false" customHeight="false" outlineLevel="0" collapsed="false">
      <c r="A15" s="2" t="s">
        <v>723</v>
      </c>
      <c r="B15" s="2" t="s">
        <v>925</v>
      </c>
      <c r="C15" s="2" t="s">
        <v>904</v>
      </c>
      <c r="D15" s="2"/>
      <c r="E15" s="16" t="n">
        <v>4.1</v>
      </c>
      <c r="F15" s="16" t="n">
        <v>27.2</v>
      </c>
      <c r="G15" s="2" t="s">
        <v>731</v>
      </c>
      <c r="H15" s="2" t="s">
        <v>926</v>
      </c>
      <c r="I15" s="2" t="s">
        <v>731</v>
      </c>
      <c r="J15" s="17" t="n">
        <v>1000000</v>
      </c>
      <c r="K15" s="18" t="n">
        <f aca="false">IF(C15="Per unit",D15*J15,J15)</f>
        <v>1000000</v>
      </c>
      <c r="L15" s="18" t="n">
        <f aca="false">K15*E15</f>
        <v>4100000</v>
      </c>
      <c r="M15" s="18" t="n">
        <f aca="false">K15*F15</f>
        <v>27200000</v>
      </c>
      <c r="N15" s="19" t="n">
        <f aca="false">L15-K15</f>
        <v>3100000</v>
      </c>
      <c r="O15" s="19" t="n">
        <f aca="false">M15-K15</f>
        <v>26200000</v>
      </c>
    </row>
    <row r="18" customFormat="false" ht="15" hidden="false" customHeight="false" outlineLevel="0" collapsed="false">
      <c r="A18" s="3" t="s">
        <v>927</v>
      </c>
    </row>
    <row r="19" customFormat="false" ht="15" hidden="false" customHeight="false" outlineLevel="0" collapsed="false">
      <c r="B19" s="2" t="s">
        <v>928</v>
      </c>
      <c r="J19" s="20" t="n">
        <v>100</v>
      </c>
    </row>
    <row r="20" customFormat="false" ht="15" hidden="false" customHeight="false" outlineLevel="0" collapsed="false">
      <c r="B20" s="2" t="s">
        <v>929</v>
      </c>
      <c r="K20" s="21" t="n">
        <f aca="false">J19*Parameters!B4</f>
        <v>7000000</v>
      </c>
    </row>
    <row r="21" customFormat="false" ht="15" hidden="false" customHeight="false" outlineLevel="0" collapsed="false">
      <c r="B21" s="2" t="s">
        <v>930</v>
      </c>
      <c r="K21" s="21" t="n">
        <f aca="false">J19*Parameters!B6</f>
        <v>2500000</v>
      </c>
    </row>
    <row r="22" customFormat="false" ht="15" hidden="false" customHeight="false" outlineLevel="0" collapsed="false">
      <c r="B22" s="2" t="s">
        <v>931</v>
      </c>
      <c r="K22" s="21" t="n">
        <f aca="false">J19*Parameters!B7</f>
        <v>3500000</v>
      </c>
    </row>
    <row r="24" customFormat="false" ht="15" hidden="false" customHeight="false" outlineLevel="0" collapsed="false">
      <c r="A24" s="3" t="s">
        <v>932</v>
      </c>
    </row>
    <row r="25" customFormat="false" ht="15" hidden="false" customHeight="false" outlineLevel="0" collapsed="false">
      <c r="B25" s="2" t="s">
        <v>933</v>
      </c>
      <c r="J25" s="22" t="n">
        <v>0.1</v>
      </c>
    </row>
    <row r="26" customFormat="false" ht="15" hidden="false" customHeight="false" outlineLevel="0" collapsed="false">
      <c r="B26" s="2" t="s">
        <v>934</v>
      </c>
      <c r="K26" s="23" t="n">
        <f aca="false">Parameters!B10*J25</f>
        <v>185870</v>
      </c>
    </row>
    <row r="27" customFormat="false" ht="15" hidden="false" customHeight="false" outlineLevel="0" collapsed="false">
      <c r="B27" s="2" t="s">
        <v>935</v>
      </c>
      <c r="K27" s="24" t="n">
        <f aca="false">K26*Parameters!B11</f>
        <v>7862301000</v>
      </c>
    </row>
    <row r="28" customFormat="false" ht="15" hidden="false" customHeight="false" outlineLevel="0" collapsed="false">
      <c r="B28" s="2" t="s">
        <v>936</v>
      </c>
      <c r="K28" s="21" t="n">
        <f aca="false">K26*Parameters!B4</f>
        <v>13010900000</v>
      </c>
    </row>
    <row r="30" customFormat="false" ht="15" hidden="false" customHeight="false" outlineLevel="0" collapsed="false">
      <c r="A30" s="2" t="s">
        <v>937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2026-09-25T11:24:31Z</dcterms:created>
  <dc:creator>openpyxl</dc:creator>
  <dc:description/>
  <dc:language>en-US</dc:language>
  <cp:lastModifiedBy/>
  <dcterms:modified xsi:type="dcterms:W3CDTF">2026-09-25T11:24:31Z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